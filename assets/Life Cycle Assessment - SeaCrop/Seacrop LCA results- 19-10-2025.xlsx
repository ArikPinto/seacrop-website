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 state="visible" name="SeaCrop ingr (energy scenarios)" sheetId="2" r:id="rId5"/>
    <sheet state="visible" name="FF1 (energy scenarios)" sheetId="3" r:id="rId6"/>
    <sheet state="visible" name="FF2 (energy scenarios)" sheetId="4" r:id="rId7"/>
    <sheet state="visible" name="Electricity use for drying" sheetId="5" r:id="rId8"/>
  </sheets>
  <externalReferences>
    <externalReference r:id="rId9"/>
  </externalReferences>
  <definedNames/>
  <calcPr/>
  <extLst>
    <ext uri="GoogleSheetsCustomDataVersion2">
      <go:sheetsCustomData xmlns:go="http://customooxmlschemas.google.com/" r:id="rId10" roundtripDataChecksum="OdQRw94oIJYtdEKjmFdZL1C3SG9UkabhJqLMenENxJ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
ID#AAABtDUrGvc
tc={EF4A3043-573D-4547-BDE7-648184CBA945}    (2025-10-21 07:58:18)
[Threaded comment]
Your version of Excel allows you to read this threaded comment; however, any edits to it will get removed if the file is opened in a newer version of Excel. Learn more: https://go.microsoft.com/fwlink/?linkid=870924
Comment:
    Assume ⅓ of FO comes from by-products</t>
      </text>
    </comment>
    <comment authorId="0" ref="X28">
      <text>
        <t xml:space="preserve">======
ID#AAABtDUrGvQ
tc={E807CF1D-543E-4835-AF60-9F0CA59049DA}    (2025-10-21 07:58:18)
[Threaded comment]
Your version of Excel allows you to read this threaded comment; however, any edits to it will get removed if the file is opened in a newer version of Excel. Learn more: https://go.microsoft.com/fwlink/?linkid=870924
Comment:
    economic Fish In: Fish Out (eFIFO)</t>
      </text>
    </comment>
    <comment authorId="0" ref="X27">
      <text>
        <t xml:space="preserve">======
ID#AAABtDUrGvM
tc={A863215E-A088-44EE-A401-9C50C52F3E81}    (2025-10-21 07:58:18)
[Threaded comment]
Your version of Excel allows you to read this threaded comment; however, any edits to it will get removed if the file is opened in a newer version of Excel. Learn more: https://go.microsoft.com/fwlink/?linkid=870924
Comment:
    Forage Fish Dependency Ratio (FFDR)</t>
      </text>
    </comment>
    <comment authorId="0" ref="A8">
      <text>
        <t xml:space="preserve">======
ID#AAABtDUrGu8
tc={F1F4980C-D1F6-4815-8840-2F918DC78D76}    (2025-10-21 07:58:18)
[Threaded comment]
Your version of Excel allows you to read this threaded comment; however, any edits to it will get removed if the file is opened in a newer version of Excel. Learn more: https://go.microsoft.com/fwlink/?linkid=870924
Comment:
    I assume Eeran means “other ingredients” so we will apply a mix of conventional ingredients. For now we’ve assumed wheat.</t>
      </text>
    </comment>
    <comment authorId="0" ref="A13">
      <text>
        <t xml:space="preserve">======
ID#AAABtDUrGsk
tc={01FBBDCB-06DD-412F-B949-EFF9AA245C56}    (2025-10-21 07:58:17)
[Threaded comment]
Your version of Excel allows you to read this threaded comment; however, any edits to it will get removed if the file is opened in a newer version of Excel. Learn more: https://go.microsoft.com/fwlink/?linkid=870924
Comment:
    Assume ⅓ of FM comes from by-products</t>
      </text>
    </comment>
    <comment authorId="0" ref="A4">
      <text>
        <t xml:space="preserve">======
ID#AAABtDUrGrQ
tc={D4FFA2EC-C74A-4EF1-8AB6-F33897900659}    (2025-10-21 07:58:17)
[Threaded comment]
Your version of Excel allows you to read this threaded comment; however, any edits to it will get removed if the file is opened in a newer version of Excel. Learn more: https://go.microsoft.com/fwlink/?linkid=870924
Comment:
    Assume wheat flour</t>
      </text>
    </comment>
    <comment authorId="0" ref="X26">
      <text>
        <t xml:space="preserve">======
ID#AAABtDUrGqE
tc={5D163CA5-C665-4680-BFAD-A3A2A962B977}    (2025-10-21 07:58:17)
[Threaded comment]
Your version of Excel allows you to read this threaded comment; however, any edits to it will get removed if the file is opened in a newer version of Excel. Learn more: https://go.microsoft.com/fwlink/?linkid=870924
Comment:
    Forage Fish Dependency Ratio (FFDR)</t>
      </text>
    </comment>
  </commentList>
  <extLst>
    <ext uri="GoogleSheetsCustomDataVersion2">
      <go:sheetsCustomData xmlns:go="http://customooxmlschemas.google.com/" r:id="rId1" roundtripDataSignature="AMtx7miXiXkBw5PrylyaTTXHSqym+Yjaf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
ID#AAABtDUrGwM
tc={1B62D125-7FFD-4D2B-8017-F61C7DFEFD7B}    (2025-10-21 07:58:18)
[Threaded comment]
Your version of Excel allows you to read this threaded comment; however, any edits to it will get removed if the file is opened in a newer version of Excel. Learn more: https://go.microsoft.com/fwlink/?linkid=870924
Comment:
    Eutrophication, marine (EF): Eutrophication in ecosystems happens when substances containing nitrogen (N) or phosphorus (P) are released to the ecosystem. As a rule, the availability of one of these nutrients will be a limiting factor for growth in the ecosystem, and if this nutrient is added, the growth of algae or specific plants will increase. For the marine environment this will be mainly due to an increase of nitrogen (N). Nitrogen emissions are caused largely by the agricultural use of fertilisers, but also by combustion processes. The potential impact of substances contributing to marine eutrophication is converted to the equivalent of kilograms of nitrogen (kg N eq). Reference: https://green-forum.ec.europa.eu/green-business/environmental-footprint-methods/life-cycle-assessment-ef-methods_en</t>
      </text>
    </comment>
    <comment authorId="0" ref="B28">
      <text>
        <t xml:space="preserve">======
ID#AAABtDUrGwE
tc={8AE19FD7-1F04-4712-BA5A-3F59BA9CD545}    (2025-10-21 07:58:18)
[Threaded comment]
Your version of Excel allows you to read this threaded comment; however, any edits to it will get removed if the file is opened in a newer version of Excel. Learn more: https://go.microsoft.com/fwlink/?linkid=870924
Comment:
    Biotic resource use (BFP): This metric evaluates the environmental pressure caused by the extraction and consumption of biological resources—such as fish and crops for feed, and other biomass—from ecosystems.</t>
      </text>
    </comment>
    <comment authorId="0" ref="B10">
      <text>
        <t xml:space="preserve">======
ID#AAABtDUrGvw
tc={20592F5A-EEEF-4A36-92B8-F1A04023867A}    (2025-10-21 07:58:18)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34">
      <text>
        <t xml:space="preserve">======
ID#AAABtDUrGvo
tc={C55D6A09-528F-4CCD-9DB2-92C1DBDE6C8B}    (2025-10-21 07:58:18)
[Threaded comment]
Your version of Excel allows you to read this threaded comment; however, any edits to it will get removed if the file is opened in a newer version of Excel. Learn more: https://go.microsoft.com/fwlink/?linkid=870924
Comment:
    Consumptive water use (BFP): Total green, blue and grey water use.</t>
      </text>
    </comment>
    <comment authorId="0" ref="B20">
      <text>
        <t xml:space="preserve">======
ID#AAABtDUrGvU
tc={D00F0F8A-4494-429C-BD30-D9FA123805D8}    (2025-10-21 07:58:18)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17">
      <text>
        <t xml:space="preserve">======
ID#AAABtDUrGug
tc={52CC16DE-0BF3-425F-B3C7-7DB31E57FFDD}    (2025-10-21 07:58:18)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36">
      <text>
        <t xml:space="preserve">======
ID#AAABtDUrGuE
tc={EFD06D1E-A862-4649-B09D-CC034174EE19}    (2025-10-21 07:58:18)
[Threaded comment]
Your version of Excel allows you to read this threaded comment; however, any edits to it will get removed if the file is opened in a newer version of Excel. Learn more: https://go.microsoft.com/fwlink/?linkid=870924
Comment:
    Consumptive green water use (BFP): Rainwater (green) water consumption.</t>
      </text>
    </comment>
    <comment authorId="0" ref="B25">
      <text>
        <t xml:space="preserve">======
ID#AAABtDUrGts
tc={A26AEBF9-00B0-44FA-B30B-74A83495E66C}    (2025-10-21 07:58:18)
[Threaded comment]
Your version of Excel allows you to read this threaded comment; however, any edits to it will get removed if the file is opened in a newer version of Excel. Learn more: https://go.microsoft.com/fwlink/?linkid=870924
Comment:
    Resource use, fossils (EF): The earth contains a finite amount of non-renewable resources, such as fossil fuels like coal, oil and gas. The basic idea behind this impact category is that extracting resources today will force future generations to extract less or different resources. For example, the depletion of V2.0 – 25th August 2023 28 fossil fuels may lead to the non-availability of fossil fuels for future generations. The amount of materials contributing to resource use, fossils, are converted into MJ. Reference: https://green-forum.ec.europa.eu/green-business/environmental-footprint-methods/life-cycle-assessment-ef-methods_en</t>
      </text>
    </comment>
    <comment authorId="0" ref="B7">
      <text>
        <t xml:space="preserve">======
ID#AAABtDUrGtQ
tc={16B64588-C128-4BCD-97B3-CCA586E14769}    (2025-10-21 07:58:17)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22">
      <text>
        <t xml:space="preserve">======
ID#AAABtDUrGtA
tc={08CF7745-DB61-4AF3-B355-0CE26728AC87}    (2025-10-21 07:58:17)
[Threaded comment]
Your version of Excel allows you to read this threaded comment; however, any edits to it will get removed if the file is opened in a newer version of Excel. Learn more: https://go.microsoft.com/fwlink/?linkid=870924
Comment:
    Land use (EF): Use and transformation of land for agriculture, roads, housing, mining or other purposes. The impacts can vary and include loss of species, of the organic matter content of soil, or loss of the soil itself (erosion). This is a composite indicator measuring impacts on four soil properties (biotic production, erosion resistance, groundwater regeneration and mechanical filtration), expressed in points (Pts). Reference: https://green-forum.ec.europa.eu/green-business/environmental-footprint-methods/life-cycle-assessment-ef-methods_en</t>
      </text>
    </comment>
    <comment authorId="0" ref="B31">
      <text>
        <t xml:space="preserve">======
ID#AAABtDUrGs0
tc={C11D241F-5C71-4164-83BA-5880FF229C2F}    (2025-10-21 07:58:17)
[Threaded comment]
Your version of Excel allows you to read this threaded comment; however, any edits to it will get removed if the file is opened in a newer version of Excel. Learn more: https://go.microsoft.com/fwlink/?linkid=870924
Comment:
    Cumulative energy use (BFP): Total (non-)renewable energy use and source visualised as Megajoules (MJ).</t>
      </text>
    </comment>
    <comment authorId="0" ref="B32">
      <text>
        <t xml:space="preserve">======
ID#AAABtDUrGso
tc={E3A26D2C-7A7E-4C78-B9EE-87AC58CE3822}    (2025-10-21 07:58:17)
[Threaded comment]
Your version of Excel allows you to read this threaded comment; however, any edits to it will get removed if the file is opened in a newer version of Excel. Learn more: https://go.microsoft.com/fwlink/?linkid=870924
Comment:
    Cumulative non-renewable energy use (BFP): Total non-renewable energy use and source visualised as Megajoules (MJ).</t>
      </text>
    </comment>
    <comment authorId="0" ref="B18">
      <text>
        <t xml:space="preserve">======
ID#AAABtDUrGsg
tc={325D4EC5-4A08-404F-AE52-7CB545BED101}    (2025-10-21 07:58:17)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37">
      <text>
        <t xml:space="preserve">======
ID#AAABtDUrGsc
tc={E97C7A94-895D-4501-8264-4A6F9E61710D}    (2025-10-21 07:58:17)
[Threaded comment]
Your version of Excel allows you to read this threaded comment; however, any edits to it will get removed if the file is opened in a newer version of Excel. Learn more: https://go.microsoft.com/fwlink/?linkid=870924
Comment:
    Consumptive grey water (BFP): the conceptual volume of freshwater required to dilute pollutants to meet water quality standards. Global estimates were used, as precise calculations depend on location-specific data such as pollutant concentrations in effluent and acceptable levels in receiving water bodies. Grey water global estimate from Mekonnen and Hoekstra (2011): doi:10.5194/hess-15-1577-2011</t>
      </text>
    </comment>
    <comment authorId="0" ref="B11">
      <text>
        <t xml:space="preserve">======
ID#AAABtDUrGsU
tc={6C3880AF-1934-4045-AF6E-2CE55EC299B6}    (2025-10-21 07:58:17)
[Threaded comment]
Your version of Excel allows you to read this threaded comment; however, any edits to it will get removed if the file is opened in a newer version of Excel. Learn more: https://go.microsoft.com/fwlink/?linkid=870924
Comment:
    Particulate matter (EF): This indicator measures the adverse impacts on human health caused by emissions of Particulate Matter (PM) and its precursors (e.g. NOx, SO2). Usually, the smaller the particles, the more dangerous they are, as they can go deeper into the lungs. The potential impact of is measured as the change in mortality due to PM emissions, expressed as disease incidence per kg of PM2.5 emitted. Reference: https://green-forum.ec.europa.eu/green-business/environmental-footprint-methods/life-cycle-assessment-ef-methods_en</t>
      </text>
    </comment>
    <comment authorId="0" ref="B13">
      <text>
        <t xml:space="preserve">======
ID#AAABtDUrGsQ
tc={D63A8E06-8F48-4650-8972-E2768E27815B}    (2025-10-21 07:58:17)
[Threaded comment]
Your version of Excel allows you to read this threaded comment; however, any edits to it will get removed if the file is opened in a newer version of Excel. Learn more: https://go.microsoft.com/fwlink/?linkid=870924
Comment:
    Eutrophication, freshwater (EF): Eutrophication impacts ecosystems due to substances containing nitrogen (N) or phosphorus (P), which promotes growth of algae or specific plants. If algae grow too rapidly, it can leave water without enough oxygen for fish to survive. Nitrogen emissions into the aquatic environment are caused by fertilisers used in agriculture, but also by combustion processes. The most significant sources of phosphorus emissions are sewage treatment plants for urban and industrial effluents and leaching from agricultural land. The potential impact of substances contributing to freshwater eutrophication is converted to the equivalent of kilograms of phosphorus (kg P eq). Reference: https://green-forum.ec.europa.eu/green-business/environmental-footprint-methods/life-cycle-assessment-ef-methods_en</t>
      </text>
    </comment>
    <comment authorId="0" ref="B29">
      <text>
        <t xml:space="preserve">======
ID#AAABtDUrGsA
tc={2FF181FC-37C0-4579-A4F4-9BBF329D6A00}    (2025-10-21 07:58:17)
[Threaded comment]
Your version of Excel allows you to read this threaded comment; however, any edits to it will get removed if the file is opened in a newer version of Excel. Learn more: https://go.microsoft.com/fwlink/?linkid=870924
Comment:
    Land competition (BFP): Land occupied by a producers or process throughout its life cycle. It considers direct occupation (e.g., agriculture land) and indirect occupation (e.g., land needed to sequester emissions).</t>
      </text>
    </comment>
    <comment authorId="0" ref="B23">
      <text>
        <t xml:space="preserve">======
ID#AAABtDUrGr8
tc={96FBB42A-35F5-4CE1-8432-5BE7DAC68ADB}    (2025-10-21 07:58:17)
[Threaded comment]
Your version of Excel allows you to read this threaded comment; however, any edits to it will get removed if the file is opened in a newer version of Excel. Learn more: https://go.microsoft.com/fwlink/?linkid=870924
Comment:
    Ozone depletion (EF): The stratospheric ozone (O3) layer protects us from hazardous ultraviolet radiation (UV-B). Its depletion increases skin cancer cases in humans and damage to plants. The potential impacts of all relevant substances for ozone depletion are converted to their equivalent of kilograms of trichlorofluoromethane (also called Freon-11 and R-11), hence the unit of measurement is in kilogram of CFC-11 equivalent (kg CFC-11 eq). Reference: https://green-forum.ec.europa.eu/green-business/environmental-footprint-methods/life-cycle-assessment-ef-methods_en</t>
      </text>
    </comment>
    <comment authorId="0" ref="B14">
      <text>
        <t xml:space="preserve">======
ID#AAABtDUrGr0
tc={AA65EDC0-6CB7-4570-B806-657555A34061}    (2025-10-21 07:58:17)
[Threaded comment]
Your version of Excel allows you to read this threaded comment; however, any edits to it will get removed if the file is opened in a newer version of Excel. Learn more: https://go.microsoft.com/fwlink/?linkid=870924
Comment:
    Eutrophication, terrestrial (EF): Eutrophication arises when substances containing nitrogen (N) or phosphorus (P) are released to ecosystems. These nutrients cause a growth of algae or specific plants and thus limit growth in the original ecosystem. The potential impact of substances contributing to terrestrial eutrophication is converted to the equivalent of moles of nitrogen (mol N eq). Reference: https://green-forum.ec.europa.eu/green-business/environmental-footprint-methods/life-cycle-assessment-ef-methods_en</t>
      </text>
    </comment>
    <comment authorId="0" ref="B26">
      <text>
        <t xml:space="preserve">======
ID#AAABtDUrGrs
tc={C4193AD2-947C-450D-8CCC-357AA47B4934}    (2025-10-21 07:58:17)
[Threaded comment]
Your version of Excel allows you to read this threaded comment; however, any edits to it will get removed if the file is opened in a newer version of Excel. Learn more: https://go.microsoft.com/fwlink/?linkid=870924
Comment:
    Resource use, minerals and metals (EF): This impact category has the same underlying basic idea as the impact category resource use, fossils (namely, extracting a high concentration of resources today will force future generations to extract lower concentration or lower value resources). The amount of materials contributing to resource depletion are converted into equivalents of kilograms of antimony (kg Sb eq). Reference: https://green-forum.ec.europa.eu/green-business/environmental-footprint-methods/life-cycle-assessment-ef-methods_en</t>
      </text>
    </comment>
    <comment authorId="0" ref="B16">
      <text>
        <t xml:space="preserve">======
ID#AAABtDUrGro
tc={19EB2984-7B80-4F42-A45A-A5FD31BF5097}    (2025-10-21 07:58:17)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8">
      <text>
        <t xml:space="preserve">======
ID#AAABtDUrGrk
tc={629C8215-C292-4A0A-973D-2C0441ACCD07}    (2025-10-21 07:58:17)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5">
      <text>
        <t xml:space="preserve">======
ID#AAABtDUrGrg
tc={7CB4FD6C-9CAE-4732-9882-156DE8BFC1CD}    (2025-10-21 07:58:17)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4">
      <text>
        <t xml:space="preserve">======
ID#AAABtDUrGrM
tc={FE7A1DCE-D2EA-444A-949F-4319DF86953A}    (2025-10-21 07:58:17)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3">
      <text>
        <t xml:space="preserve">======
ID#AAABtDUrGrA
tc={65FC4696-8591-440F-94AE-4FE8C398BEE9}    (2025-10-21 07:58:17)
[Threaded comment]
Your version of Excel allows you to read this threaded comment; however, any edits to it will get removed if the file is opened in a newer version of Excel. Learn more: https://go.microsoft.com/fwlink/?linkid=870924
Comment:
    Acidification (EF): Acidification has contributed to a decline of coniferous forests and an increase in fish mortality. Acidification can be caused by emissions to the air and deposition of emissions in water and soil. The most significant sources are combustion processes in electricity, heat production, and transport. The more sulphur the fuels contain the greater their contribution to acidification. The potential impact of substances contributing to acidification is converted to the equivalent of moles of hydron (general name for a cationic form of atomic hydrogen, mol H+ eq). Reference: https://green-forum.ec.europa.eu/green-business/environmental-footprint-methods/life-cycle-assessment-ef-methods_en</t>
      </text>
    </comment>
    <comment authorId="0" ref="B30">
      <text>
        <t xml:space="preserve">======
ID#AAABtDUrGqs
tc={C697FC21-E1B2-4733-AA07-64850FEC4C0C}    (2025-10-21 07:58:17)
[Threaded comment]
Your version of Excel allows you to read this threaded comment; however, any edits to it will get removed if the file is opened in a newer version of Excel. Learn more: https://go.microsoft.com/fwlink/?linkid=870924
Comment:
    Eutrophication (terrestrial, freshwater and marine combined, BFP): Provision of nutrients contributes to biological oxygen demand (Kg PO4 eq).</t>
      </text>
    </comment>
    <comment authorId="0" ref="A3">
      <text>
        <t xml:space="preserve">======
ID#AAABtDUrGqc
tc={A348AD19-49B3-42E3-8B45-C11EB1238488}    (2025-10-21 07:58:17)
[Threaded comment]
Your version of Excel allows you to read this threaded comment; however, any edits to it will get removed if the file is opened in a newer version of Excel. Learn more: https://go.microsoft.com/fwlink/?linkid=870924
Comment:
    The Environmental Footprint (EF) in the context of the Product Environmental Footprint (PEF) refers to a comprehensive measure of a product’s environmental impact throughout its entire life cycle—from raw material extraction, manufacturing, and distribution to use and disposal. Developed by the European Commission, PEF provides a standardized methodology based on Life Cycle Assessment (LCA), ensuring consistency and comparability across industries.</t>
      </text>
    </comment>
    <comment authorId="0" ref="B35">
      <text>
        <t xml:space="preserve">======
ID#AAABtDUrGqU
tc={86E41689-0CD7-4EA6-8A39-42B22CA2761F}    (2025-10-21 07:58:17)
[Threaded comment]
Your version of Excel allows you to read this threaded comment; however, any edits to it will get removed if the file is opened in a newer version of Excel. Learn more: https://go.microsoft.com/fwlink/?linkid=870924
Comment:
    Consumptive blue water use (BFP): freshwater withdrawn from rivers, lakes and aquifers for irrigation or industrial purposes.</t>
      </text>
    </comment>
    <comment authorId="0" ref="B6">
      <text>
        <t xml:space="preserve">======
ID#AAABtDUrGqM
tc={BB1682B5-27BB-4A41-BD77-139F01C6772E}    (2025-10-21 07:58:17)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9">
      <text>
        <t xml:space="preserve">======
ID#AAABtDUrGqI
tc={10009A73-02C0-43EB-8748-46333CC84D66}    (2025-10-21 07:58:17)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33">
      <text>
        <t xml:space="preserve">======
ID#AAABtDUrGqA
tc={50599AB0-5835-4B8E-9DBB-10848463BB16}    (2025-10-21 07:58:17)
[Threaded comment]
Your version of Excel allows you to read this threaded comment; however, any edits to it will get removed if the file is opened in a newer version of Excel. Learn more: https://go.microsoft.com/fwlink/?linkid=870924
Comment:
    Cumulative renewable energy use (BFP): Total renewable energy use and source visualised as Megajoules (MJ).</t>
      </text>
    </comment>
    <comment authorId="0" ref="B24">
      <text>
        <t xml:space="preserve">======
ID#AAABtDUrGpw
tc={6CA7F34A-6132-41F9-BAD6-079BD674E8E4}    (2025-10-21 07:58:17)
[Threaded comment]
Your version of Excel allows you to read this threaded comment; however, any edits to it will get removed if the file is opened in a newer version of Excel. Learn more: https://go.microsoft.com/fwlink/?linkid=870924
Comment:
    Photochemical ozone formation (EF): Ozone (O3) on the ground (in the troposphere) is harmful: it attacks organic compounds in animals and plants, it increases the frequency of respiratory problems when photochemical smog (“summer smog”) is present in cities. The potential impact of substances contributing to photochemical ozone formation is converted into the equivalent of kilograms of Non-Methane Volatile Organic Compounds (e.g. alcohols, aromatics, etc.; kg NMVOC eq). Reference: https://green-forum.ec.europa.eu/green-business/environmental-footprint-methods/life-cycle-assessment-ef-methods_en</t>
      </text>
    </comment>
    <comment authorId="0" ref="B21">
      <text>
        <t xml:space="preserve">======
ID#AAABtDUrGps
tc={F3E34DB7-188A-4043-9BE4-E4792C339F5C}    (2025-10-21 07:58:17)
[Threaded comment]
Your version of Excel allows you to read this threaded comment; however, any edits to it will get removed if the file is opened in a newer version of Excel. Learn more: https://go.microsoft.com/fwlink/?linkid=870924
Comment:
    Ionising radiation (EF): The exposure to ionising radiation (radioactivity) can have impacts on human health. The Environmental Footprint only considers emissions under normal operating conditions (no accidents in nuclear plants are considered). The potential impact on human health of different ionising radiations is converted to the equivalent of kilobequerels of Uranium 235 (kg U235 eq). Reference: https://green-forum.ec.europa.eu/green-business/environmental-footprint-methods/life-cycle-assessment-ef-methods_en</t>
      </text>
    </comment>
    <comment authorId="0" ref="B27">
      <text>
        <t xml:space="preserve">======
ID#AAABtDUrGpk
tc={9C5D0799-6EF1-46D0-9F2E-852FBCF18A34}    (2025-10-21 07:58:17)
[Threaded comment]
Your version of Excel allows you to read this threaded comment; however, any edits to it will get removed if the file is opened in a newer version of Excel. Learn more: https://go.microsoft.com/fwlink/?linkid=870924
Comment:
    Water use (EF): The abstraction of water from lakes, rivers or groundwater can contribute to the ‘depletion’ of available water. The impact category considers the availability or scarcity of water in the regions where the activity takes place, if this information is known. The potential impact is expressed in cubic metres (m3 ) of water use related to the local scarcity of water. Reference: https://green-forum.ec.europa.eu/green-business/environmental-footprint-methods/life-cycle-assessment-ef-methods_en</t>
      </text>
    </comment>
    <comment authorId="0" ref="B19">
      <text>
        <t xml:space="preserve">======
ID#AAABtDUrGpY
tc={CECE0C52-D6BD-43C1-8518-9A957DA54709}    (2025-10-21 07:58:17)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15">
      <text>
        <t xml:space="preserve">======
ID#AAABtDUrGpU
tc={A3BB7C50-D0CA-4D2E-A05C-E035923339AC}    (2025-10-21 07:58:17)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List>
  <extLst>
    <ext uri="GoogleSheetsCustomDataVersion2">
      <go:sheetsCustomData xmlns:go="http://customooxmlschemas.google.com/" r:id="rId1" roundtripDataSignature="AMtx7mjlJd6fhDWasOZZ1CEwvHXwc75zO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ID#AAABtDUrGwY
tc={952677E9-3457-4A65-B482-65808A754F21}    (2025-10-21 07:58:18)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11">
      <text>
        <t xml:space="preserve">======
ID#AAABtDUrGwI
tc={F703AB82-3247-43AF-A18C-371864A54409}    (2025-10-21 07:58:18)
[Threaded comment]
Your version of Excel allows you to read this threaded comment; however, any edits to it will get removed if the file is opened in a newer version of Excel. Learn more: https://go.microsoft.com/fwlink/?linkid=870924
Comment:
    Particulate matter (EF): This indicator measures the adverse impacts on human health caused by emissions of Particulate Matter (PM) and its precursors (e.g. NOx, SO2). Usually, the smaller the particles, the more dangerous they are, as they can go deeper into the lungs. The potential impact of is measured as the change in mortality due to PM emissions, expressed as disease incidence per kg of PM2.5 emitted. Reference: https://green-forum.ec.europa.eu/green-business/environmental-footprint-methods/life-cycle-assessment-ef-methods_en</t>
      </text>
    </comment>
    <comment authorId="0" ref="B29">
      <text>
        <t xml:space="preserve">======
ID#AAABtDUrGv0
tc={2660225A-2EF3-4F22-B0EB-8054EB6A6703}    (2025-10-21 07:58:18)
[Threaded comment]
Your version of Excel allows you to read this threaded comment; however, any edits to it will get removed if the file is opened in a newer version of Excel. Learn more: https://go.microsoft.com/fwlink/?linkid=870924
Comment:
    Land competition (BFP): Land occupied by a producers or process throughout its life cycle. It considers direct occupation (e.g., agriculture land) and indirect occupation (e.g., land needed to sequester emissions).</t>
      </text>
    </comment>
    <comment authorId="0" ref="B25">
      <text>
        <t xml:space="preserve">======
ID#AAABtDUrGvs
tc={108AC4A6-092F-4EB0-9EBC-302DA0A8C700}    (2025-10-21 07:58:18)
[Threaded comment]
Your version of Excel allows you to read this threaded comment; however, any edits to it will get removed if the file is opened in a newer version of Excel. Learn more: https://go.microsoft.com/fwlink/?linkid=870924
Comment:
    Resource use, fossils (EF): The earth contains a finite amount of non-renewable resources, such as fossil fuels like coal, oil and gas. The basic idea behind this impact category is that extracting resources today will force future generations to extract less or different resources. For example, the depletion of V2.0 – 25th August 2023 28 fossil fuels may lead to the non-availability of fossil fuels for future generations. The amount of materials contributing to resource use, fossils, are converted into MJ. Reference: https://green-forum.ec.europa.eu/green-business/environmental-footprint-methods/life-cycle-assessment-ef-methods_en</t>
      </text>
    </comment>
    <comment authorId="0" ref="B10">
      <text>
        <t xml:space="preserve">======
ID#AAABtDUrGvg
tc={37B8A184-9B01-45C1-9E8D-E82521C69CE6}    (2025-10-21 07:58:18)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18">
      <text>
        <t xml:space="preserve">======
ID#AAABtDUrGvY
tc={78CC7407-CE68-454F-953E-A1B3E493EB42}    (2025-10-21 07:58:18)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36">
      <text>
        <t xml:space="preserve">======
ID#AAABtDUrGvE
tc={187CB511-4BC7-4835-83E8-AC52C0029DAD}    (2025-10-21 07:58:18)
[Threaded comment]
Your version of Excel allows you to read this threaded comment; however, any edits to it will get removed if the file is opened in a newer version of Excel. Learn more: https://go.microsoft.com/fwlink/?linkid=870924
Comment:
    Consumptive green water use (BFP): Rainwater (green) water consumption.</t>
      </text>
    </comment>
    <comment authorId="0" ref="B30">
      <text>
        <t xml:space="preserve">======
ID#AAABtDUrGvA
tc={3915DAE9-F3C2-4218-8C1A-D0CAB09A6DA0}    (2025-10-21 07:58:18)
[Threaded comment]
Your version of Excel allows you to read this threaded comment; however, any edits to it will get removed if the file is opened in a newer version of Excel. Learn more: https://go.microsoft.com/fwlink/?linkid=870924
Comment:
    Eutrophication (terrestrial, freshwater and marine combined, BFP): Provision of nutrients contributes to biological oxygen demand (Kg PO4 eq).</t>
      </text>
    </comment>
    <comment authorId="0" ref="B26">
      <text>
        <t xml:space="preserve">======
ID#AAABtDUrGuw
tc={897619C0-AF11-4F39-8C94-43642CA1B0C9}    (2025-10-21 07:58:18)
[Threaded comment]
Your version of Excel allows you to read this threaded comment; however, any edits to it will get removed if the file is opened in a newer version of Excel. Learn more: https://go.microsoft.com/fwlink/?linkid=870924
Comment:
    Resource use, minerals and metals (EF): This impact category has the same underlying basic idea as the impact category resource use, fossils (namely, extracting a high concentration of resources today will force future generations to extract lower concentration or lower value resources). The amount of materials contributing to resource depletion are converted into equivalents of kilograms of antimony (kg Sb eq). Reference: https://green-forum.ec.europa.eu/green-business/environmental-footprint-methods/life-cycle-assessment-ef-methods_en</t>
      </text>
    </comment>
    <comment authorId="0" ref="B4">
      <text>
        <t xml:space="preserve">======
ID#AAABtDUrGuo
tc={788C5F9C-FB01-41A4-A98E-11032B84B213}    (2025-10-21 07:58:18)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34">
      <text>
        <t xml:space="preserve">======
ID#AAABtDUrGuc
tc={F7CAC13B-0EC5-4A4F-9977-6D674B8E3636}    (2025-10-21 07:58:18)
[Threaded comment]
Your version of Excel allows you to read this threaded comment; however, any edits to it will get removed if the file is opened in a newer version of Excel. Learn more: https://go.microsoft.com/fwlink/?linkid=870924
Comment:
    Consumptive water use (BFP): Total green, blue and grey water use.</t>
      </text>
    </comment>
    <comment authorId="0" ref="B3">
      <text>
        <t xml:space="preserve">======
ID#AAABtDUrGuY
tc={4F283471-80F1-4A59-BDD1-D121132240CA}    (2025-10-21 07:58:18)
[Threaded comment]
Your version of Excel allows you to read this threaded comment; however, any edits to it will get removed if the file is opened in a newer version of Excel. Learn more: https://go.microsoft.com/fwlink/?linkid=870924
Comment:
    Acidification (EF): Acidification has contributed to a decline of coniferous forests and an increase in fish mortality. Acidification can be caused by emissions to the air and deposition of emissions in water and soil. The most significant sources are combustion processes in electricity, heat production, and transport. The more sulphur the fuels contain the greater their contribution to acidification. The potential impact of substances contributing to acidification is converted to the equivalent of moles of hydron (general name for a cationic form of atomic hydrogen, mol H+ eq). Reference: https://green-forum.ec.europa.eu/green-business/environmental-footprint-methods/life-cycle-assessment-ef-methods_en</t>
      </text>
    </comment>
    <comment authorId="0" ref="B27">
      <text>
        <t xml:space="preserve">======
ID#AAABtDUrGuU
tc={372C343C-E276-4D84-8C65-71A4446254C6}    (2025-10-21 07:58:18)
[Threaded comment]
Your version of Excel allows you to read this threaded comment; however, any edits to it will get removed if the file is opened in a newer version of Excel. Learn more: https://go.microsoft.com/fwlink/?linkid=870924
Comment:
    Water use (EF): The abstraction of water from lakes, rivers or groundwater can contribute to the ‘depletion’ of available water. The impact category considers the availability or scarcity of water in the regions where the activity takes place, if this information is known. The potential impact is expressed in cubic metres (m3 ) of water use related to the local scarcity of water. Reference: https://green-forum.ec.europa.eu/green-business/environmental-footprint-methods/life-cycle-assessment-ef-methods_en</t>
      </text>
    </comment>
    <comment authorId="0" ref="B14">
      <text>
        <t xml:space="preserve">======
ID#AAABtDUrGuM
tc={648A1E9D-C90A-41FE-ADF5-9BA623794A9B}    (2025-10-21 07:58:18)
[Threaded comment]
Your version of Excel allows you to read this threaded comment; however, any edits to it will get removed if the file is opened in a newer version of Excel. Learn more: https://go.microsoft.com/fwlink/?linkid=870924
Comment:
    Eutrophication, terrestrial (EF): Eutrophication arises when substances containing nitrogen (N) or phosphorus (P) are released to ecosystems. These nutrients cause a growth of algae or specific plants and thus limit growth in the original ecosystem. The potential impact of substances contributing to terrestrial eutrophication is converted to the equivalent of moles of nitrogen (mol N eq). Reference: https://green-forum.ec.europa.eu/green-business/environmental-footprint-methods/life-cycle-assessment-ef-methods_en</t>
      </text>
    </comment>
    <comment authorId="0" ref="B33">
      <text>
        <t xml:space="preserve">======
ID#AAABtDUrGuI
tc={0A9B9518-0EE5-4A03-AB07-0959CE9D326A}    (2025-10-21 07:58:18)
[Threaded comment]
Your version of Excel allows you to read this threaded comment; however, any edits to it will get removed if the file is opened in a newer version of Excel. Learn more: https://go.microsoft.com/fwlink/?linkid=870924
Comment:
    Cumulative renewable energy use (BFP): Total renewable energy use and source visualised as Megajoules (MJ).</t>
      </text>
    </comment>
    <comment authorId="0" ref="B24">
      <text>
        <t xml:space="preserve">======
ID#AAABtDUrGuA
tc={7389DF48-B93B-4C3A-B394-F8649EF84C65}    (2025-10-21 07:58:18)
[Threaded comment]
Your version of Excel allows you to read this threaded comment; however, any edits to it will get removed if the file is opened in a newer version of Excel. Learn more: https://go.microsoft.com/fwlink/?linkid=870924
Comment:
    Photochemical ozone formation (EF): Ozone (O3) on the ground (in the troposphere) is harmful: it attacks organic compounds in animals and plants, it increases the frequency of respiratory problems when photochemical smog (“summer smog”) is present in cities. The potential impact of substances contributing to photochemical ozone formation is converted into the equivalent of kilograms of Non-Methane Volatile Organic Compounds (e.g. alcohols, aromatics, etc.; kg NMVOC eq). Reference: https://green-forum.ec.europa.eu/green-business/environmental-footprint-methods/life-cycle-assessment-ef-methods_en</t>
      </text>
    </comment>
    <comment authorId="0" ref="B17">
      <text>
        <t xml:space="preserve">======
ID#AAABtDUrGt8
tc={86DF3691-4D5D-4FF3-94A8-1B6A5F1108CB}    (2025-10-21 07:58:18)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6">
      <text>
        <t xml:space="preserve">======
ID#AAABtDUrGt4
tc={8CC8C97B-D426-4FFC-BA62-CBAC9F2F3C47}    (2025-10-21 07:58:18)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28">
      <text>
        <t xml:space="preserve">======
ID#AAABtDUrGt0
tc={04245D82-C5D4-4C80-B9F1-E134C899B32B}    (2025-10-21 07:58:18)
[Threaded comment]
Your version of Excel allows you to read this threaded comment; however, any edits to it will get removed if the file is opened in a newer version of Excel. Learn more: https://go.microsoft.com/fwlink/?linkid=870924
Comment:
    Biotic resource use (BFP): This metric evaluates the environmental pressure caused by the extraction and consumption of biological resources—such as fish and crops for feed, and other biomass—from ecosystems.</t>
      </text>
    </comment>
    <comment authorId="0" ref="B8">
      <text>
        <t xml:space="preserve">======
ID#AAABtDUrGtw
tc={A6143D8B-C38F-45A3-8FE4-76A692683A4B}    (2025-10-21 07:58:18)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31">
      <text>
        <t xml:space="preserve">======
ID#AAABtDUrGtg
tc={5AE93A68-D214-47BB-9C0B-D6AF8477FA6F}    (2025-10-21 07:58:18)
[Threaded comment]
Your version of Excel allows you to read this threaded comment; however, any edits to it will get removed if the file is opened in a newer version of Excel. Learn more: https://go.microsoft.com/fwlink/?linkid=870924
Comment:
    Cumulative energy use (BFP): Total (non-)renewable energy use and source visualised as Megajoules (MJ).</t>
      </text>
    </comment>
    <comment authorId="0" ref="B7">
      <text>
        <t xml:space="preserve">======
ID#AAABtDUrGtc
tc={DCEEF3E1-2D30-4790-A36B-6E7D5D1C9962}    (2025-10-21 07:58:18)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37">
      <text>
        <t xml:space="preserve">======
ID#AAABtDUrGtU
tc={0DF5F143-E8B2-4A00-A66A-9401C49A795D}    (2025-10-21 07:58:18)
[Threaded comment]
Your version of Excel allows you to read this threaded comment; however, any edits to it will get removed if the file is opened in a newer version of Excel. Learn more: https://go.microsoft.com/fwlink/?linkid=870924
Comment:
    Consumptive grey water (BFP): the conceptual volume of freshwater required to dilute pollutants to meet water quality standards. Global estimates were used, as precise calculations depend on location-specific data such as pollutant concentrations in effluent and acceptable levels in receiving water bodies. Grey water global estimate from Mekonnen and Hoekstra (2011): doi:10.5194/hess-15-1577-2011</t>
      </text>
    </comment>
    <comment authorId="0" ref="B12">
      <text>
        <t xml:space="preserve">======
ID#AAABtDUrGtI
tc={CD6EF635-C6FF-4C52-A223-63A917EF2F82}    (2025-10-21 07:58:17)
[Threaded comment]
Your version of Excel allows you to read this threaded comment; however, any edits to it will get removed if the file is opened in a newer version of Excel. Learn more: https://go.microsoft.com/fwlink/?linkid=870924
Comment:
    Eutrophication, marine (EF): Eutrophication in ecosystems happens when substances containing nitrogen (N) or phosphorus (P) are released to the ecosystem. As a rule, the availability of one of these nutrients will be a limiting factor for growth in the ecosystem, and if this nutrient is added, the growth of algae or specific plants will increase. For the marine environment this will be mainly due to an increase of nitrogen (N). Nitrogen emissions are caused largely by the agricultural use of fertilisers, but also by combustion processes. The potential impact of substances contributing to marine eutrophication is converted to the equivalent of kilograms of nitrogen (kg N eq). Reference: https://green-forum.ec.europa.eu/green-business/environmental-footprint-methods/life-cycle-assessment-ef-methods_en</t>
      </text>
    </comment>
    <comment authorId="0" ref="B22">
      <text>
        <t xml:space="preserve">======
ID#AAABtDUrGtE
tc={A0DEB15D-C5A6-4E21-8EF1-FA5D00BF28A7}    (2025-10-21 07:58:17)
[Threaded comment]
Your version of Excel allows you to read this threaded comment; however, any edits to it will get removed if the file is opened in a newer version of Excel. Learn more: https://go.microsoft.com/fwlink/?linkid=870924
Comment:
    Land use (EF): Use and transformation of land for agriculture, roads, housing, mining or other purposes. The impacts can vary and include loss of species, of the organic matter content of soil, or loss of the soil itself (erosion). This is a composite indicator measuring impacts on four soil properties (biotic production, erosion resistance, groundwater regeneration and mechanical filtration), expressed in points (Pts). Reference: https://green-forum.ec.europa.eu/green-business/environmental-footprint-methods/life-cycle-assessment-ef-methods_en</t>
      </text>
    </comment>
    <comment authorId="0" ref="B32">
      <text>
        <t xml:space="preserve">======
ID#AAABtDUrGs4
tc={934B2692-6A1B-48EC-9438-3AC15DB1C055}    (2025-10-21 07:58:17)
[Threaded comment]
Your version of Excel allows you to read this threaded comment; however, any edits to it will get removed if the file is opened in a newer version of Excel. Learn more: https://go.microsoft.com/fwlink/?linkid=870924
Comment:
    Cumulative non-renewable energy use (BFP): Total non-renewable energy use and source visualised as Megajoules (MJ).</t>
      </text>
    </comment>
    <comment authorId="0" ref="B5">
      <text>
        <t xml:space="preserve">======
ID#AAABtDUrGsY
tc={FF0D85AF-A1CE-41CF-8B54-2A29C86B4BE9}    (2025-10-21 07:58:17)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23">
      <text>
        <t xml:space="preserve">======
ID#AAABtDUrGsM
tc={BE32D856-D461-49B6-8D09-D34C2D222FB8}    (2025-10-21 07:58:17)
[Threaded comment]
Your version of Excel allows you to read this threaded comment; however, any edits to it will get removed if the file is opened in a newer version of Excel. Learn more: https://go.microsoft.com/fwlink/?linkid=870924
Comment:
    Ozone depletion (EF): The stratospheric ozone (O3) layer protects us from hazardous ultraviolet radiation (UV-B). Its depletion increases skin cancer cases in humans and damage to plants. The potential impacts of all relevant substances for ozone depletion are converted to their equivalent of kilograms of trichlorofluoromethane (also called Freon-11 and R-11), hence the unit of measurement is in kilogram of CFC-11 equivalent (kg CFC-11 eq). Reference: https://green-forum.ec.europa.eu/green-business/environmental-footprint-methods/life-cycle-assessment-ef-methods_en</t>
      </text>
    </comment>
    <comment authorId="0" ref="B35">
      <text>
        <t xml:space="preserve">======
ID#AAABtDUrGsE
tc={FB882DA4-BD68-46BB-A9ED-9F202DD589EF}    (2025-10-21 07:58:17)
[Threaded comment]
Your version of Excel allows you to read this threaded comment; however, any edits to it will get removed if the file is opened in a newer version of Excel. Learn more: https://go.microsoft.com/fwlink/?linkid=870924
Comment:
    Consumptive blue water use (BFP): freshwater withdrawn from rivers, lakes and aquifers for irrigation or industrial purposes.</t>
      </text>
    </comment>
    <comment authorId="0" ref="B13">
      <text>
        <t xml:space="preserve">======
ID#AAABtDUrGq4
tc={B5173EA7-E176-4FAB-97AB-7B40BA40386F}    (2025-10-21 07:58:17)
[Threaded comment]
Your version of Excel allows you to read this threaded comment; however, any edits to it will get removed if the file is opened in a newer version of Excel. Learn more: https://go.microsoft.com/fwlink/?linkid=870924
Comment:
    Eutrophication, freshwater (EF): Eutrophication impacts ecosystems due to substances containing nitrogen (N) or phosphorus (P), which promotes growth of algae or specific plants. If algae grow too rapidly, it can leave water without enough oxygen for fish to survive. Nitrogen emissions into the aquatic environment are caused by fertilisers used in agriculture, but also by combustion processes. The most significant sources of phosphorus emissions are sewage treatment plants for urban and industrial effluents and leaching from agricultural land. The potential impact of substances contributing to freshwater eutrophication is converted to the equivalent of kilograms of phosphorus (kg P eq). Reference: https://green-forum.ec.europa.eu/green-business/environmental-footprint-methods/life-cycle-assessment-ef-methods_en</t>
      </text>
    </comment>
    <comment authorId="0" ref="B20">
      <text>
        <t xml:space="preserve">======
ID#AAABtDUrGqo
tc={42D4B18E-449F-4913-A167-BEF7C77AFE56}    (2025-10-21 07:58:17)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A3">
      <text>
        <t xml:space="preserve">======
ID#AAABtDUrGqk
tc={B3C48088-4FA3-4ABB-BAC8-1098E1A98A37}    (2025-10-21 07:58:17)
[Threaded comment]
Your version of Excel allows you to read this threaded comment; however, any edits to it will get removed if the file is opened in a newer version of Excel. Learn more: https://go.microsoft.com/fwlink/?linkid=870924
Comment:
    The Environmental Footprint (EF) in the context of the Product Environmental Footprint (PEF) refers to a comprehensive measure of a product’s environmental impact throughout its entire life cycle—from raw material extraction, manufacturing, and distribution to use and disposal. Developed by the European Commission, PEF provides a standardized methodology based on Life Cycle Assessment (LCA), ensuring consistency and comparability across industries.</t>
      </text>
    </comment>
    <comment authorId="0" ref="B9">
      <text>
        <t xml:space="preserve">======
ID#AAABtDUrGqg
tc={B9428CFC-2B4D-4392-93DF-8C80D860EB96}    (2025-10-21 07:58:17)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21">
      <text>
        <t xml:space="preserve">======
ID#AAABtDUrGqQ
tc={F7155122-406C-40D9-866A-C4E69D461ACB}    (2025-10-21 07:58:17)
[Threaded comment]
Your version of Excel allows you to read this threaded comment; however, any edits to it will get removed if the file is opened in a newer version of Excel. Learn more: https://go.microsoft.com/fwlink/?linkid=870924
Comment:
    Ionising radiation (EF): The exposure to ionising radiation (radioactivity) can have impacts on human health. The Environmental Footprint only considers emissions under normal operating conditions (no accidents in nuclear plants are considered). The potential impact on human health of different ionising radiations is converted to the equivalent of kilobequerels of Uranium 235 (kg U235 eq). Reference: https://green-forum.ec.europa.eu/green-business/environmental-footprint-methods/life-cycle-assessment-ef-methods_en</t>
      </text>
    </comment>
    <comment authorId="0" ref="B19">
      <text>
        <t xml:space="preserve">======
ID#AAABtDUrGp8
tc={4E7DC7C6-CC1C-4A85-B739-7DA49EFBF13F}    (2025-10-21 07:58:17)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15">
      <text>
        <t xml:space="preserve">======
ID#AAABtDUrGp4
tc={4B26B327-66FE-47B7-BD56-4F08E4DD80B6}    (2025-10-21 07:58:17)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List>
  <extLst>
    <ext uri="GoogleSheetsCustomDataVersion2">
      <go:sheetsCustomData xmlns:go="http://customooxmlschemas.google.com/" r:id="rId1" roundtripDataSignature="AMtx7mg9b7oN4uXPB7QlQnFsZ5ZdYuvDe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ID#AAABtDUrGwU
tc={199F644A-2812-496D-B046-9FD90C6D3B61}    (2025-10-21 07:58:18)
[Threaded comment]
Your version of Excel allows you to read this threaded comment; however, any edits to it will get removed if the file is opened in a newer version of Excel. Learn more: https://go.microsoft.com/fwlink/?linkid=870924
Comment:
    The Environmental Footprint (EF) in the context of the Product Environmental Footprint (PEF) refers to a comprehensive measure of a product’s environmental impact throughout its entire life cycle—from raw material extraction, manufacturing, and distribution to use and disposal. Developed by the European Commission, PEF provides a standardized methodology based on Life Cycle Assessment (LCA), ensuring consistency and comparability across industries.</t>
      </text>
    </comment>
    <comment authorId="0" ref="B24">
      <text>
        <t xml:space="preserve">======
ID#AAABtDUrGwQ
tc={625AB0DE-562B-4C65-B903-D2BE9EF214AB}    (2025-10-21 07:58:18)
[Threaded comment]
Your version of Excel allows you to read this threaded comment; however, any edits to it will get removed if the file is opened in a newer version of Excel. Learn more: https://go.microsoft.com/fwlink/?linkid=870924
Comment:
    Photochemical ozone formation (EF): Ozone (O3) on the ground (in the troposphere) is harmful: it attacks organic compounds in animals and plants, it increases the frequency of respiratory problems when photochemical smog (“summer smog”) is present in cities. The potential impact of substances contributing to photochemical ozone formation is converted into the equivalent of kilograms of Non-Methane Volatile Organic Compounds (e.g. alcohols, aromatics, etc.; kg NMVOC eq). Reference: https://green-forum.ec.europa.eu/green-business/environmental-footprint-methods/life-cycle-assessment-ef-methods_en</t>
      </text>
    </comment>
    <comment authorId="0" ref="B31">
      <text>
        <t xml:space="preserve">======
ID#AAABtDUrGwA
tc={728DA723-CEB1-4CDB-B4D4-5BCD61AE2D10}    (2025-10-21 07:58:18)
[Threaded comment]
Your version of Excel allows you to read this threaded comment; however, any edits to it will get removed if the file is opened in a newer version of Excel. Learn more: https://go.microsoft.com/fwlink/?linkid=870924
Comment:
    Cumulative energy use (BFP): Total (non-)renewable energy use and source visualised as Megajoules (MJ).</t>
      </text>
    </comment>
    <comment authorId="0" ref="B28">
      <text>
        <t xml:space="preserve">======
ID#AAABtDUrGv8
tc={74000CB9-7A01-4DB9-9559-32F0C11E3380}    (2025-10-21 07:58:18)
[Threaded comment]
Your version of Excel allows you to read this threaded comment; however, any edits to it will get removed if the file is opened in a newer version of Excel. Learn more: https://go.microsoft.com/fwlink/?linkid=870924
Comment:
    Biotic resource use (BFP): This metric evaluates the environmental pressure caused by the extraction and consumption of biological resources—such as fish and crops for feed, and other biomass—from ecosystems.</t>
      </text>
    </comment>
    <comment authorId="0" ref="B16">
      <text>
        <t xml:space="preserve">======
ID#AAABtDUrGv4
tc={E518A84F-6A70-4ABE-9280-6B4868E2F42A}    (2025-10-21 07:58:18)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33">
      <text>
        <t xml:space="preserve">======
ID#AAABtDUrGvk
tc={40B72496-721C-4701-A52E-759638B6E3C5}    (2025-10-21 07:58:18)
[Threaded comment]
Your version of Excel allows you to read this threaded comment; however, any edits to it will get removed if the file is opened in a newer version of Excel. Learn more: https://go.microsoft.com/fwlink/?linkid=870924
Comment:
    Cumulative renewable energy use (BFP): Total renewable energy use and source visualised as Megajoules (MJ).</t>
      </text>
    </comment>
    <comment authorId="0" ref="B30">
      <text>
        <t xml:space="preserve">======
ID#AAABtDUrGvI
tc={09EB008A-6495-4614-B834-7013343DC6AF}    (2025-10-21 07:58:18)
[Threaded comment]
Your version of Excel allows you to read this threaded comment; however, any edits to it will get removed if the file is opened in a newer version of Excel. Learn more: https://go.microsoft.com/fwlink/?linkid=870924
Comment:
    Eutrophication (terrestrial, freshwater and marine combined, BFP): Provision of nutrients contributes to biological oxygen demand (Kg PO4 eq).</t>
      </text>
    </comment>
    <comment authorId="0" ref="B32">
      <text>
        <t xml:space="preserve">======
ID#AAABtDUrGu4
tc={A5F8841F-30F3-401E-B9CF-EB9807092CCE}    (2025-10-21 07:58:18)
[Threaded comment]
Your version of Excel allows you to read this threaded comment; however, any edits to it will get removed if the file is opened in a newer version of Excel. Learn more: https://go.microsoft.com/fwlink/?linkid=870924
Comment:
    Cumulative non-renewable energy use (BFP): Total non-renewable energy use and source visualised as Megajoules (MJ).</t>
      </text>
    </comment>
    <comment authorId="0" ref="B4">
      <text>
        <t xml:space="preserve">======
ID#AAABtDUrGu0
tc={7C4E6C1B-0B5E-48EB-B8CF-F16B99D7B4B7}    (2025-10-21 07:58:18)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5">
      <text>
        <t xml:space="preserve">======
ID#AAABtDUrGus
tc={F387DD25-1A98-4054-893F-24EB65F89A52}    (2025-10-21 07:58:18)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29">
      <text>
        <t xml:space="preserve">======
ID#AAABtDUrGuk
tc={BFCF1EBF-94FF-443C-8740-C29453AA3F29}    (2025-10-21 07:58:18)
[Threaded comment]
Your version of Excel allows you to read this threaded comment; however, any edits to it will get removed if the file is opened in a newer version of Excel. Learn more: https://go.microsoft.com/fwlink/?linkid=870924
Comment:
    Land competition (BFP): Land occupied by a producers or process throughout its life cycle. It considers direct occupation (e.g., agriculture land) and indirect occupation (e.g., land needed to sequester emissions).</t>
      </text>
    </comment>
    <comment authorId="0" ref="B3">
      <text>
        <t xml:space="preserve">======
ID#AAABtDUrGuQ
tc={170C4DAB-79F9-428A-849B-3B4CBC0F92AD}    (2025-10-21 07:58:18)
[Threaded comment]
Your version of Excel allows you to read this threaded comment; however, any edits to it will get removed if the file is opened in a newer version of Excel. Learn more: https://go.microsoft.com/fwlink/?linkid=870924
Comment:
    Acidification (EF): Acidification has contributed to a decline of coniferous forests and an increase in fish mortality. Acidification can be caused by emissions to the air and deposition of emissions in water and soil. The most significant sources are combustion processes in electricity, heat production, and transport. The more sulphur the fuels contain the greater their contribution to acidification. The potential impact of substances contributing to acidification is converted to the equivalent of moles of hydron (general name for a cationic form of atomic hydrogen, mol H+ eq). Reference: https://green-forum.ec.europa.eu/green-business/environmental-footprint-methods/life-cycle-assessment-ef-methods_en</t>
      </text>
    </comment>
    <comment authorId="0" ref="B6">
      <text>
        <t xml:space="preserve">======
ID#AAABtDUrGto
tc={E09DDB0C-F630-4EE7-BABF-1F6E916EC6EF}    (2025-10-21 07:58:18)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13">
      <text>
        <t xml:space="preserve">======
ID#AAABtDUrGtk
tc={CAA107A6-017D-4846-B166-1524CA2273B8}    (2025-10-21 07:58:18)
[Threaded comment]
Your version of Excel allows you to read this threaded comment; however, any edits to it will get removed if the file is opened in a newer version of Excel. Learn more: https://go.microsoft.com/fwlink/?linkid=870924
Comment:
    Eutrophication, freshwater (EF): Eutrophication impacts ecosystems due to substances containing nitrogen (N) or phosphorus (P), which promotes growth of algae or specific plants. If algae grow too rapidly, it can leave water without enough oxygen for fish to survive. Nitrogen emissions into the aquatic environment are caused by fertilisers used in agriculture, but also by combustion processes. The most significant sources of phosphorus emissions are sewage treatment plants for urban and industrial effluents and leaching from agricultural land. The potential impact of substances contributing to freshwater eutrophication is converted to the equivalent of kilograms of phosphorus (kg P eq). Reference: https://green-forum.ec.europa.eu/green-business/environmental-footprint-methods/life-cycle-assessment-ef-methods_en</t>
      </text>
    </comment>
    <comment authorId="0" ref="B19">
      <text>
        <t xml:space="preserve">======
ID#AAABtDUrGtY
tc={3537C696-F0E9-437E-AB11-A9F28D79A24D}    (2025-10-21 07:58:18)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37">
      <text>
        <t xml:space="preserve">======
ID#AAABtDUrGtM
tc={E7C584A6-30CA-4843-A618-5D1A6E794C21}    (2025-10-21 07:58:17)
[Threaded comment]
Your version of Excel allows you to read this threaded comment; however, any edits to it will get removed if the file is opened in a newer version of Excel. Learn more: https://go.microsoft.com/fwlink/?linkid=870924
Comment:
    Consumptive grey water (BFP): the conceptual volume of freshwater required to dilute pollutants to meet water quality standards. Global estimates were used, as precise calculations depend on location-specific data such as pollutant concentrations in effluent and acceptable levels in receiving water bodies. Grey water global estimate from Mekonnen and Hoekstra (2011): doi:10.5194/hess-15-1577-2011</t>
      </text>
    </comment>
    <comment authorId="0" ref="B8">
      <text>
        <t xml:space="preserve">======
ID#AAABtDUrGs8
tc={1AAC7EE1-7A3A-4B7B-A114-81B655FCF4DB}    (2025-10-21 07:58:17)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17">
      <text>
        <t xml:space="preserve">======
ID#AAABtDUrGsw
tc={296D8F08-ED88-4E98-834E-05FDBB335BEC}    (2025-10-21 07:58:17)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15">
      <text>
        <t xml:space="preserve">======
ID#AAABtDUrGss
tc={14CA0A28-FEE5-4F6D-88BC-187B4E8BBB4D}    (2025-10-21 07:58:17)
[Threaded comment]
Your version of Excel allows you to read this threaded comment; however, any edits to it will get removed if the file is opened in a newer version of Excel. Learn more: https://go.microsoft.com/fwlink/?linkid=870924
Comment:
    Human toxicity, 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35">
      <text>
        <t xml:space="preserve">======
ID#AAABtDUrGsI
tc={9DEB8A1B-EA3A-410D-B8A9-5B090D016D71}    (2025-10-21 07:58:17)
[Threaded comment]
Your version of Excel allows you to read this threaded comment; however, any edits to it will get removed if the file is opened in a newer version of Excel. Learn more: https://go.microsoft.com/fwlink/?linkid=870924
Comment:
    Consumptive blue water use (BFP): freshwater withdrawn from rivers, lakes and aquifers for irrigation or industrial purposes.</t>
      </text>
    </comment>
    <comment authorId="0" ref="B20">
      <text>
        <t xml:space="preserve">======
ID#AAABtDUrGr4
tc={AB5AAC38-A551-42E6-A5C2-51EE1DA4537A}    (2025-10-21 07:58:17)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36">
      <text>
        <t xml:space="preserve">======
ID#AAABtDUrGrw
tc={38054A35-9091-4FA8-A81D-5A7EF4AB4E0F}    (2025-10-21 07:58:17)
[Threaded comment]
Your version of Excel allows you to read this threaded comment; however, any edits to it will get removed if the file is opened in a newer version of Excel. Learn more: https://go.microsoft.com/fwlink/?linkid=870924
Comment:
    Consumptive green water use (BFP): Rainwater (green) water consumption.</t>
      </text>
    </comment>
    <comment authorId="0" ref="B11">
      <text>
        <t xml:space="preserve">======
ID#AAABtDUrGrc
tc={7B880CFB-8938-4D36-B07E-6E8E3B2F91BB}    (2025-10-21 07:58:17)
[Threaded comment]
Your version of Excel allows you to read this threaded comment; however, any edits to it will get removed if the file is opened in a newer version of Excel. Learn more: https://go.microsoft.com/fwlink/?linkid=870924
Comment:
    Particulate matter (EF): This indicator measures the adverse impacts on human health caused by emissions of Particulate Matter (PM) and its precursors (e.g. NOx, SO2). Usually, the smaller the particles, the more dangerous they are, as they can go deeper into the lungs. The potential impact of is measured as the change in mortality due to PM emissions, expressed as disease incidence per kg of PM2.5 emitted. Reference: https://green-forum.ec.europa.eu/green-business/environmental-footprint-methods/life-cycle-assessment-ef-methods_en</t>
      </text>
    </comment>
    <comment authorId="0" ref="B14">
      <text>
        <t xml:space="preserve">======
ID#AAABtDUrGrY
tc={5F3D35BB-E937-4D3C-86C4-FC9C99EF45A8}    (2025-10-21 07:58:17)
[Threaded comment]
Your version of Excel allows you to read this threaded comment; however, any edits to it will get removed if the file is opened in a newer version of Excel. Learn more: https://go.microsoft.com/fwlink/?linkid=870924
Comment:
    Eutrophication, terrestrial (EF): Eutrophication arises when substances containing nitrogen (N) or phosphorus (P) are released to ecosystems. These nutrients cause a growth of algae or specific plants and thus limit growth in the original ecosystem. The potential impact of substances contributing to terrestrial eutrophication is converted to the equivalent of moles of nitrogen (mol N eq). Reference: https://green-forum.ec.europa.eu/green-business/environmental-footprint-methods/life-cycle-assessment-ef-methods_en</t>
      </text>
    </comment>
    <comment authorId="0" ref="B7">
      <text>
        <t xml:space="preserve">======
ID#AAABtDUrGrU
tc={6392A42D-D49C-480A-A19C-D32C38F880CF}    (2025-10-21 07:58:17)
[Threaded comment]
Your version of Excel allows you to read this threaded comment; however, any edits to it will get removed if the file is opened in a newer version of Excel. Learn more: https://go.microsoft.com/fwlink/?linkid=870924
Comment:
    Climate change (EF): This indicator refers to the increase in the average global temperatures as result of greenhouse gas (GHG) emissions. The greatest contributor is generally the combustion of fossil fuels such as coal, oil, and natural gas. The global warming potential of all GHG emissions is measured in kilogram of carbon dioxide equivalent (kg CO2 eq), namely all GHG are compared to the amount of the global warming potential of 1 kg of CO2. Reference: https://green-forum.ec.europa.eu/green-business/environmental-footprint-methods/life-cycle-assessment-ef-methods_en</t>
      </text>
    </comment>
    <comment authorId="0" ref="B25">
      <text>
        <t xml:space="preserve">======
ID#AAABtDUrGrI
tc={7876B87C-ADD9-4D34-9698-739ECF5A33E4}    (2025-10-21 07:58:17)
[Threaded comment]
Your version of Excel allows you to read this threaded comment; however, any edits to it will get removed if the file is opened in a newer version of Excel. Learn more: https://go.microsoft.com/fwlink/?linkid=870924
Comment:
    Resource use, fossils (EF): The earth contains a finite amount of non-renewable resources, such as fossil fuels like coal, oil and gas. The basic idea behind this impact category is that extracting resources today will force future generations to extract less or different resources. For example, the depletion of V2.0 – 25th August 2023 28 fossil fuels may lead to the non-availability of fossil fuels for future generations. The amount of materials contributing to resource use, fossils, are converted into MJ. Reference: https://green-forum.ec.europa.eu/green-business/environmental-footprint-methods/life-cycle-assessment-ef-methods_en</t>
      </text>
    </comment>
    <comment authorId="0" ref="B22">
      <text>
        <t xml:space="preserve">======
ID#AAABtDUrGrE
tc={28256F10-A850-49CF-BC09-49724BFFE913}    (2025-10-21 07:58:17)
[Threaded comment]
Your version of Excel allows you to read this threaded comment; however, any edits to it will get removed if the file is opened in a newer version of Excel. Learn more: https://go.microsoft.com/fwlink/?linkid=870924
Comment:
    Land use (EF): Use and transformation of land for agriculture, roads, housing, mining or other purposes. The impacts can vary and include loss of species, of the organic matter content of soil, or loss of the soil itself (erosion). This is a composite indicator measuring impacts on four soil properties (biotic production, erosion resistance, groundwater regeneration and mechanical filtration), expressed in points (Pts). Reference: https://green-forum.ec.europa.eu/green-business/environmental-footprint-methods/life-cycle-assessment-ef-methods_en</t>
      </text>
    </comment>
    <comment authorId="0" ref="B9">
      <text>
        <t xml:space="preserve">======
ID#AAABtDUrGq8
tc={A352CF07-1A5B-4F61-A406-53F1D67BF333}    (2025-10-21 07:58:17)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18">
      <text>
        <t xml:space="preserve">======
ID#AAABtDUrGq0
tc={E2A5AA03-4179-4E07-B52E-5A5B21F41883}    (2025-10-21 07:58:17)
[Threaded comment]
Your version of Excel allows you to read this threaded comment; however, any edits to it will get removed if the file is opened in a newer version of Excel. Learn more: https://go.microsoft.com/fwlink/?linkid=870924
Comment:
    Human toxicity, non-cancer effects (EF): This indicator refers to potential impacts, via the environment, on human health caused by absorbing substances from the air, water, and soil. Direct effects of products on human health are currently not measured. The unit of measurement is Comparative Toxic Unit for humans (CTUh). This is based on a model called USEtox. Reference: https://green-forum.ec.europa.eu/green-business/environmental-footprint-methods/life-cycle-assessment-ef-methods_en</t>
      </text>
    </comment>
    <comment authorId="0" ref="B27">
      <text>
        <t xml:space="preserve">======
ID#AAABtDUrGqw
tc={59505C91-DD37-432E-AABE-8913E468B1A8}    (2025-10-21 07:58:17)
[Threaded comment]
Your version of Excel allows you to read this threaded comment; however, any edits to it will get removed if the file is opened in a newer version of Excel. Learn more: https://go.microsoft.com/fwlink/?linkid=870924
Comment:
    Water use (EF): The abstraction of water from lakes, rivers or groundwater can contribute to the ‘depletion’ of available water. The impact category considers the availability or scarcity of water in the regions where the activity takes place, if this information is known. The potential impact is expressed in cubic metres (m3 ) of water use related to the local scarcity of water. Reference: https://green-forum.ec.europa.eu/green-business/environmental-footprint-methods/life-cycle-assessment-ef-methods_en</t>
      </text>
    </comment>
    <comment authorId="0" ref="B26">
      <text>
        <t xml:space="preserve">======
ID#AAABtDUrGqY
tc={2104214B-37A5-4BB3-A457-6597569A9C2E}    (2025-10-21 07:58:17)
[Threaded comment]
Your version of Excel allows you to read this threaded comment; however, any edits to it will get removed if the file is opened in a newer version of Excel. Learn more: https://go.microsoft.com/fwlink/?linkid=870924
Comment:
    Resource use, minerals and metals (EF): This impact category has the same underlying basic idea as the impact category resource use, fossils (namely, extracting a high concentration of resources today will force future generations to extract lower concentration or lower value resources). The amount of materials contributing to resource depletion are converted into equivalents of kilograms of antimony (kg Sb eq). Reference: https://green-forum.ec.europa.eu/green-business/environmental-footprint-methods/life-cycle-assessment-ef-methods_en</t>
      </text>
    </comment>
    <comment authorId="0" ref="B21">
      <text>
        <t xml:space="preserve">======
ID#AAABtDUrGp0
tc={D31BE197-4EE1-4884-BF9A-4E107BA4737B}    (2025-10-21 07:58:17)
[Threaded comment]
Your version of Excel allows you to read this threaded comment; however, any edits to it will get removed if the file is opened in a newer version of Excel. Learn more: https://go.microsoft.com/fwlink/?linkid=870924
Comment:
    Ionising radiation (EF): The exposure to ionising radiation (radioactivity) can have impacts on human health. The Environmental Footprint only considers emissions under normal operating conditions (no accidents in nuclear plants are considered). The potential impact on human health of different ionising radiations is converted to the equivalent of kilobequerels of Uranium 235 (kg U235 eq). Reference: https://green-forum.ec.europa.eu/green-business/environmental-footprint-methods/life-cycle-assessment-ef-methods_en</t>
      </text>
    </comment>
    <comment authorId="0" ref="B10">
      <text>
        <t xml:space="preserve">======
ID#AAABtDUrGpo
tc={8BF8C462-ADFE-4FC7-A887-21F1B0F96D07}    (2025-10-21 07:58:17)
[Threaded comment]
Your version of Excel allows you to read this threaded comment; however, any edits to it will get removed if the file is opened in a newer version of Excel. Learn more: https://go.microsoft.com/fwlink/?linkid=870924
Comment:
    Ecotoxicity, freshwater (EF): This indicator refers to potential toxic impacts on an ecosystem, which may damage individual species as well as the functioning of the ecosystem. Some substances tend to accumulate in living organisms. The unit of measurement is Comparative Toxic Unit for ecosystems (CTUe). This is based on a model called USEtox. Reference: https://green-forum.ec.europa.eu/green-business/environmental-footprint-methods/life-cycle-assessment-ef-methods_en</t>
      </text>
    </comment>
    <comment authorId="0" ref="B23">
      <text>
        <t xml:space="preserve">======
ID#AAABtDUrGpg
tc={4B7BE268-8D1A-4AAA-9204-0DAD4A092358}    (2025-10-21 07:58:17)
[Threaded comment]
Your version of Excel allows you to read this threaded comment; however, any edits to it will get removed if the file is opened in a newer version of Excel. Learn more: https://go.microsoft.com/fwlink/?linkid=870924
Comment:
    Ozone depletion (EF): The stratospheric ozone (O3) layer protects us from hazardous ultraviolet radiation (UV-B). Its depletion increases skin cancer cases in humans and damage to plants. The potential impacts of all relevant substances for ozone depletion are converted to their equivalent of kilograms of trichlorofluoromethane (also called Freon-11 and R-11), hence the unit of measurement is in kilogram of CFC-11 equivalent (kg CFC-11 eq). Reference: https://green-forum.ec.europa.eu/green-business/environmental-footprint-methods/life-cycle-assessment-ef-methods_en</t>
      </text>
    </comment>
    <comment authorId="0" ref="B34">
      <text>
        <t xml:space="preserve">======
ID#AAABtDUrGpc
tc={341387EA-B26C-45AA-85BE-229B84DA393D}    (2025-10-21 07:58:17)
[Threaded comment]
Your version of Excel allows you to read this threaded comment; however, any edits to it will get removed if the file is opened in a newer version of Excel. Learn more: https://go.microsoft.com/fwlink/?linkid=870924
Comment:
    Consumptive water use (BFP): Total green, blue and grey water use.</t>
      </text>
    </comment>
    <comment authorId="0" ref="B12">
      <text>
        <t xml:space="preserve">======
ID#AAABtDUrGpQ
tc={7D854EC2-2E2F-46B8-BDCE-E2030147C56F}    (2025-10-21 07:58:17)
[Threaded comment]
Your version of Excel allows you to read this threaded comment; however, any edits to it will get removed if the file is opened in a newer version of Excel. Learn more: https://go.microsoft.com/fwlink/?linkid=870924
Comment:
    Eutrophication, marine (EF): Eutrophication in ecosystems happens when substances containing nitrogen (N) or phosphorus (P) are released to the ecosystem. As a rule, the availability of one of these nutrients will be a limiting factor for growth in the ecosystem, and if this nutrient is added, the growth of algae or specific plants will increase. For the marine environment this will be mainly due to an increase of nitrogen (N). Nitrogen emissions are caused largely by the agricultural use of fertilisers, but also by combustion processes. The potential impact of substances contributing to marine eutrophication is converted to the equivalent of kilograms of nitrogen (kg N eq). Reference: https://green-forum.ec.europa.eu/green-business/environmental-footprint-methods/life-cycle-assessment-ef-methods_en</t>
      </text>
    </comment>
  </commentList>
  <extLst>
    <ext uri="GoogleSheetsCustomDataVersion2">
      <go:sheetsCustomData xmlns:go="http://customooxmlschemas.google.com/" r:id="rId1" roundtripDataSignature="AMtx7miM9ymmmtajBOUMEO6484UF08LqSg=="/>
    </ext>
  </extLst>
</comments>
</file>

<file path=xl/sharedStrings.xml><?xml version="1.0" encoding="utf-8"?>
<sst xmlns="http://schemas.openxmlformats.org/spreadsheetml/2006/main" count="310" uniqueCount="116">
  <si>
    <t>Ingredient</t>
  </si>
  <si>
    <r>
      <rPr>
        <rFont val="Calibri"/>
        <b/>
        <color theme="1"/>
        <sz val="11.0"/>
      </rPr>
      <t>Feed formulation (FF1)</t>
    </r>
    <r>
      <rPr>
        <rFont val="Calibri"/>
        <b/>
        <color theme="1"/>
        <sz val="11.0"/>
        <vertAlign val="superscript"/>
      </rPr>
      <t>*</t>
    </r>
  </si>
  <si>
    <t>Price (USD)</t>
  </si>
  <si>
    <t xml:space="preserve"> FF2 (theoretical scenario)</t>
  </si>
  <si>
    <t>Price (USD/ton)</t>
  </si>
  <si>
    <t>Salt</t>
  </si>
  <si>
    <t>SeaCrop</t>
  </si>
  <si>
    <t>&lt;&lt;&lt;&lt;&lt;</t>
  </si>
  <si>
    <t>% increase in Seacrop’s phytoplankton DW compared to baseline.</t>
  </si>
  <si>
    <t>Wheat</t>
  </si>
  <si>
    <t>Corn Gluten meal</t>
  </si>
  <si>
    <t>Soybean meal</t>
  </si>
  <si>
    <t>&gt;&gt;&gt;&gt;&gt;</t>
  </si>
  <si>
    <t>20% decrease (similar estimate protein level (44-48%). Priced similar at $500-600/ton</t>
  </si>
  <si>
    <t>Wheat gluten</t>
  </si>
  <si>
    <t>Further</t>
  </si>
  <si>
    <t>Dcp</t>
  </si>
  <si>
    <t>Fish oil</t>
  </si>
  <si>
    <t>Fish oil (BP)</t>
  </si>
  <si>
    <t>Fishmeal</t>
  </si>
  <si>
    <t>10% decrease (fishmeal has higher protein levels up to 70%, but more expensive). Therefore substitutions are limited but made an assumption where 10% of fishmeal is replaced by Seacrop’s phytoplankton DW at $610 a tonne,- reducing overall diet cost.</t>
  </si>
  <si>
    <t>Fishmeal (BP)</t>
  </si>
  <si>
    <t>Poultry meal</t>
  </si>
  <si>
    <t>Premix</t>
  </si>
  <si>
    <t>Total (%)</t>
  </si>
  <si>
    <t>Total (%) Marine ingredients (MIs)</t>
  </si>
  <si>
    <t>Costs per tonne (USD)</t>
  </si>
  <si>
    <t>Feed Conversion Ratio (FCR) assumption</t>
  </si>
  <si>
    <r>
      <rPr>
        <rFont val="Calibri"/>
        <color theme="1"/>
        <sz val="11.0"/>
        <vertAlign val="superscript"/>
      </rPr>
      <t>*</t>
    </r>
    <r>
      <rPr>
        <rFont val="Calibri"/>
        <color theme="1"/>
        <sz val="11.0"/>
      </rPr>
      <t>Based on "</t>
    </r>
    <r>
      <rPr>
        <rFont val="Calibri"/>
        <i/>
        <color theme="1"/>
        <sz val="11.0"/>
      </rPr>
      <t>Initial evaluation of the SeaCrop developing product portfolio</t>
    </r>
    <r>
      <rPr>
        <rFont val="Calibri"/>
        <color theme="1"/>
        <sz val="11.0"/>
      </rPr>
      <t>" by Dr Eran Hadas. A typical feed formula for warm-water fish, such as striped bass, was used to evaluate SeaCrop's value. The model feed contains 45% protein and 12% fat. Seacrop’s phytoplankton offers ~40% protein on a dry weight (DW) basis and probably a wide range of bioactive materials, such as β-glucans and carotenoids.</t>
    </r>
  </si>
  <si>
    <t>We assumed that 90% of the environmental impact is embodied in the feeds at a striped bass farm: https://dspace.stir.ac.uk/bitstream/1893/25681/1/Newton-and-Little-IJLCA-2018.pdf</t>
  </si>
  <si>
    <t>Environmental impacts of 2 feed formulations (FF1 and FF2) to produce 1 tonne of striped bass (FCR 1.5), considering 2 drying scenarios for the SeaCrop ingredient: using Israel’s electricity grid (EG) versus residual heat (RH) from a natural gas facility.</t>
  </si>
  <si>
    <t>Carbon footprint</t>
  </si>
  <si>
    <t>FF1 (EG)</t>
  </si>
  <si>
    <t>FF1 (RH)</t>
  </si>
  <si>
    <t>FF2 (EG)</t>
  </si>
  <si>
    <t>FF2 (RH)</t>
  </si>
  <si>
    <t>Consumptive water use</t>
  </si>
  <si>
    <t xml:space="preserve">Fish biomass dependency and efficiency </t>
  </si>
  <si>
    <t>FF1</t>
  </si>
  <si>
    <t>FF2</t>
  </si>
  <si>
    <t>Land competition</t>
  </si>
  <si>
    <t>FFDR meal</t>
  </si>
  <si>
    <t>FFDR oil</t>
  </si>
  <si>
    <t>eFIFO</t>
  </si>
  <si>
    <t>*in the case of eFIFO we recommend the value of by-products to be 10% of all co-products. Prices used for fishmeal ($1,785) and fish oil ($4,260). FCR 1.5.</t>
  </si>
  <si>
    <t>SeaCrop dried biomass (40% protein, EG)</t>
  </si>
  <si>
    <t>SeaCrop dried biomass (40% protein, RH)</t>
  </si>
  <si>
    <t>Impact metrics*</t>
  </si>
  <si>
    <t>Unit/tonne ingredient</t>
  </si>
  <si>
    <t>∆</t>
  </si>
  <si>
    <t>% change</t>
  </si>
  <si>
    <t>Environmental (EF)</t>
  </si>
  <si>
    <t>Acidification</t>
  </si>
  <si>
    <t>mol H+ eq</t>
  </si>
  <si>
    <t>Climate change (Total)</t>
  </si>
  <si>
    <t>kg CO2 eq</t>
  </si>
  <si>
    <t>Climate change - Biogenic</t>
  </si>
  <si>
    <t>Climate change - Fossil</t>
  </si>
  <si>
    <t>Climate change - Land use and LU change</t>
  </si>
  <si>
    <t>Ecotoxicity, freshwater (Total)</t>
  </si>
  <si>
    <t>CTUe</t>
  </si>
  <si>
    <t>Ecotoxicity, freshwater - inorganics</t>
  </si>
  <si>
    <t>Ecotoxicity, freshwater - organics</t>
  </si>
  <si>
    <t>Particulate matter</t>
  </si>
  <si>
    <t>disease inc.</t>
  </si>
  <si>
    <t>Eutrophication, marine</t>
  </si>
  <si>
    <t>kg N eq</t>
  </si>
  <si>
    <t>Eutrophication, freshwater</t>
  </si>
  <si>
    <t>kg P eq</t>
  </si>
  <si>
    <t>Eutrophication, terrestrial</t>
  </si>
  <si>
    <t>mol N eq</t>
  </si>
  <si>
    <t>Human toxicity, cancer (Total)</t>
  </si>
  <si>
    <t>CTUh</t>
  </si>
  <si>
    <t>Human toxicity, cancer - inorganics</t>
  </si>
  <si>
    <t>Human toxicity, cancer - organics</t>
  </si>
  <si>
    <t>Human toxicity, non-cancer (Total)</t>
  </si>
  <si>
    <t>Human toxicity, non-cancer - inorganics</t>
  </si>
  <si>
    <t>Human toxicity, non-cancer - organics</t>
  </si>
  <si>
    <t>Ionising radiation</t>
  </si>
  <si>
    <t>kBq U-235 eq</t>
  </si>
  <si>
    <t>Land use</t>
  </si>
  <si>
    <t>Pt</t>
  </si>
  <si>
    <t>Ozone depletion</t>
  </si>
  <si>
    <t>kg CFC11 eq</t>
  </si>
  <si>
    <t>Photochemical ozone formation</t>
  </si>
  <si>
    <t>kg NMVOC eq</t>
  </si>
  <si>
    <t>Resource use, fossils</t>
  </si>
  <si>
    <t>MJ</t>
  </si>
  <si>
    <t>Resource use, minerals and metals</t>
  </si>
  <si>
    <t>kg Sb eq</t>
  </si>
  <si>
    <t>Water use</t>
  </si>
  <si>
    <t>m3 depriv.</t>
  </si>
  <si>
    <t>Environmental (BFP)</t>
  </si>
  <si>
    <t>Biotic resource use</t>
  </si>
  <si>
    <t>kg C</t>
  </si>
  <si>
    <t>M2a</t>
  </si>
  <si>
    <t>Eutrophication</t>
  </si>
  <si>
    <t>Kg PO4 eq</t>
  </si>
  <si>
    <t>Cumulative energy use (Total)</t>
  </si>
  <si>
    <t>Non-renewable energy</t>
  </si>
  <si>
    <t>Renewable energy</t>
  </si>
  <si>
    <t>Consumptive water use (Total)</t>
  </si>
  <si>
    <t>m3</t>
  </si>
  <si>
    <t>Blue water</t>
  </si>
  <si>
    <t>Green water</t>
  </si>
  <si>
    <t>Grey water</t>
  </si>
  <si>
    <t>*Impact metrics explanation in the tooltips.</t>
  </si>
  <si>
    <t>Unit/tonne striped bass</t>
  </si>
  <si>
    <t>kWh per tonne dried biomass (40% protein)</t>
  </si>
  <si>
    <t>kWh</t>
  </si>
  <si>
    <t>Spray drying</t>
  </si>
  <si>
    <t>Freeze drying</t>
  </si>
  <si>
    <t>Drum drying</t>
  </si>
  <si>
    <t>Sun drying</t>
  </si>
  <si>
    <t>Fluidized bed drying</t>
  </si>
  <si>
    <t>Average kWh per tonne dried biomass (40% protein)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</si>
</sst>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_-[$$-409]* #,##0_ ;_-[$$-409]* \-#,##0\ ;_-[$$-409]* &quot;-&quot;??_ ;_-@_ "/>
    <numFmt numFmtId="166" formatCode="_-[$$-409]* #,##0.00_ ;_-[$$-409]* \-#,##0.00\ ;_-[$$-409]* &quot;-&quot;??_ ;_-@_ "/>
  </numFmts>
  <fonts count="7">
    <font>
      <sz val="11.0"/>
      <color theme="1"/>
      <name val="Calibri"/>
      <scheme val="minor"/>
    </font>
    <font>
      <b/>
      <sz val="11.0"/>
      <color theme="1"/>
      <name val="Calibri"/>
    </font>
    <font>
      <sz val="11.0"/>
      <color theme="1"/>
      <name val="Calibri"/>
    </font>
    <font>
      <color theme="1"/>
      <name val="Calibri"/>
      <scheme val="minor"/>
    </font>
    <font>
      <b/>
      <sz val="15.0"/>
      <color theme="1"/>
      <name val="Calibri"/>
    </font>
    <font/>
    <font>
      <sz val="11.0"/>
      <color rgb="FFFF0000"/>
      <name val="Calibri"/>
    </font>
  </fonts>
  <fills count="7">
    <fill>
      <patternFill patternType="none"/>
    </fill>
    <fill>
      <patternFill patternType="lightGray"/>
    </fill>
    <fill>
      <patternFill patternType="solid">
        <fgColor rgb="FFBFBFBF"/>
        <bgColor rgb="FFBFBFBF"/>
      </patternFill>
    </fill>
    <fill>
      <patternFill patternType="solid">
        <fgColor rgb="FFD8D8D8"/>
        <bgColor rgb="FFD8D8D8"/>
      </patternFill>
    </fill>
    <fill>
      <patternFill patternType="solid">
        <fgColor rgb="FFF2F2F2"/>
        <bgColor rgb="FFF2F2F2"/>
      </patternFill>
    </fill>
    <fill>
      <patternFill patternType="solid">
        <fgColor theme="1"/>
        <bgColor theme="1"/>
      </patternFill>
    </fill>
    <fill>
      <patternFill patternType="solid">
        <fgColor theme="0"/>
        <bgColor theme="0"/>
      </patternFill>
    </fill>
  </fills>
  <borders count="72">
    <border/>
    <border>
      <left style="medium">
        <color rgb="FF000000"/>
      </lef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right style="thin">
        <color rgb="FF000000"/>
      </right>
      <top style="medium">
        <color rgb="FF000000"/>
      </top>
    </border>
    <border>
      <right style="medium">
        <color rgb="FF000000"/>
      </right>
      <top style="medium">
        <color rgb="FF000000"/>
      </top>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medium">
        <color rgb="FF000000"/>
      </right>
      <top style="medium">
        <color rgb="FF000000"/>
      </top>
      <bottom style="thin">
        <color rgb="FF000000"/>
      </bottom>
    </border>
    <border>
      <left style="medium">
        <color rgb="FF000000"/>
      </left>
      <bottom style="medium">
        <color rgb="FF000000"/>
      </bottom>
    </border>
    <border>
      <left style="medium">
        <color rgb="FF000000"/>
      </left>
      <right style="thin">
        <color rgb="FF000000"/>
      </right>
      <bottom style="medium">
        <color rgb="FF000000"/>
      </bottom>
    </border>
    <border>
      <left/>
      <right/>
      <top/>
      <bottom style="medium">
        <color rgb="FF000000"/>
      </bottom>
    </border>
    <border>
      <left style="thin">
        <color rgb="FF000000"/>
      </left>
      <right style="medium">
        <color rgb="FF000000"/>
      </right>
      <top/>
      <bottom style="medium">
        <color rgb="FF000000"/>
      </bottom>
    </border>
    <border>
      <left/>
      <right style="medium">
        <color rgb="FF000000"/>
      </right>
      <top/>
      <bottom style="thin">
        <color rgb="FF000000"/>
      </bottom>
    </border>
    <border>
      <left style="medium">
        <color rgb="FF000000"/>
      </left>
      <right style="thin">
        <color rgb="FF000000"/>
      </right>
      <top/>
      <bottom style="medium">
        <color rgb="FF000000"/>
      </bottom>
    </border>
    <border>
      <bottom style="medium">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bottom style="medium">
        <color rgb="FF000000"/>
      </bottom>
    </border>
    <border>
      <left style="thin">
        <color rgb="FF000000"/>
      </left>
      <bottom style="thin">
        <color rgb="FF000000"/>
      </bottom>
    </border>
    <border>
      <left style="medium">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bottom style="medium">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medium">
        <color rgb="FF000000"/>
      </top>
      <bottom style="thin">
        <color rgb="FF000000"/>
      </bottom>
    </border>
    <border>
      <left/>
      <right style="thin">
        <color rgb="FF000000"/>
      </right>
      <top style="thin">
        <color rgb="FF000000"/>
      </top>
      <bottom style="medium">
        <color rgb="FF000000"/>
      </bottom>
    </border>
    <border>
      <left style="medium">
        <color rgb="FF000000"/>
      </left>
      <right style="medium">
        <color rgb="FF000000"/>
      </right>
      <top style="medium">
        <color rgb="FF000000"/>
      </top>
    </border>
    <border>
      <left style="thin">
        <color rgb="FF000000"/>
      </left>
      <right style="thin">
        <color rgb="FF000000"/>
      </right>
      <top style="medium">
        <color rgb="FF000000"/>
      </top>
    </border>
    <border>
      <left style="medium">
        <color rgb="FF000000"/>
      </left>
      <right style="medium">
        <color rgb="FF000000"/>
      </righ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0" fillId="0" fontId="1" numFmtId="0" xfId="0" applyFont="1"/>
    <xf borderId="6" fillId="0" fontId="2" numFmtId="0" xfId="0" applyBorder="1" applyFont="1"/>
    <xf borderId="7" fillId="0" fontId="2" numFmtId="164" xfId="0" applyBorder="1" applyFont="1" applyNumberFormat="1"/>
    <xf borderId="8" fillId="0" fontId="2" numFmtId="165" xfId="0" applyBorder="1" applyFont="1" applyNumberFormat="1"/>
    <xf borderId="9" fillId="0" fontId="2" numFmtId="164" xfId="0" applyBorder="1" applyFont="1" applyNumberFormat="1"/>
    <xf borderId="10" fillId="0" fontId="2" numFmtId="0" xfId="0" applyBorder="1" applyFont="1"/>
    <xf borderId="11" fillId="0" fontId="2" numFmtId="164" xfId="0" applyBorder="1" applyFont="1" applyNumberFormat="1"/>
    <xf borderId="12" fillId="0" fontId="2" numFmtId="165" xfId="0" applyBorder="1" applyFont="1" applyNumberFormat="1"/>
    <xf borderId="13" fillId="2" fontId="2" numFmtId="164" xfId="0" applyBorder="1" applyFill="1" applyFont="1" applyNumberFormat="1"/>
    <xf borderId="0" fillId="0" fontId="3" numFmtId="0" xfId="0" applyFont="1"/>
    <xf borderId="0" fillId="0" fontId="2" numFmtId="164" xfId="0" applyAlignment="1" applyFont="1" applyNumberFormat="1">
      <alignment horizontal="left"/>
    </xf>
    <xf borderId="13" fillId="0" fontId="2" numFmtId="164" xfId="0" applyBorder="1" applyFont="1" applyNumberFormat="1"/>
    <xf borderId="13" fillId="3" fontId="2" numFmtId="164" xfId="0" applyBorder="1" applyFill="1" applyFont="1" applyNumberFormat="1"/>
    <xf borderId="0" fillId="0" fontId="2" numFmtId="164" xfId="0" applyFont="1" applyNumberFormat="1"/>
    <xf borderId="10" fillId="4" fontId="2" numFmtId="0" xfId="0" applyBorder="1" applyFill="1" applyFont="1"/>
    <xf borderId="14" fillId="4" fontId="2" numFmtId="164" xfId="0" applyBorder="1" applyFont="1" applyNumberFormat="1"/>
    <xf borderId="15" fillId="4" fontId="2" numFmtId="165" xfId="0" applyBorder="1" applyFont="1" applyNumberFormat="1"/>
    <xf borderId="13" fillId="4" fontId="2" numFmtId="164" xfId="0" applyBorder="1" applyFont="1" applyNumberFormat="1"/>
    <xf borderId="10" fillId="3" fontId="2" numFmtId="0" xfId="0" applyBorder="1" applyFont="1"/>
    <xf borderId="14" fillId="3" fontId="2" numFmtId="164" xfId="0" applyBorder="1" applyFont="1" applyNumberFormat="1"/>
    <xf borderId="15" fillId="3" fontId="2" numFmtId="165" xfId="0" applyBorder="1" applyFont="1" applyNumberFormat="1"/>
    <xf borderId="0" fillId="0" fontId="2" numFmtId="0" xfId="0" applyAlignment="1" applyFont="1">
      <alignment horizontal="left" vertical="center"/>
    </xf>
    <xf borderId="16" fillId="0" fontId="2" numFmtId="0" xfId="0" applyBorder="1" applyFont="1"/>
    <xf borderId="17" fillId="0" fontId="2" numFmtId="164" xfId="0" applyBorder="1" applyFont="1" applyNumberFormat="1"/>
    <xf borderId="18" fillId="0" fontId="2" numFmtId="165" xfId="0" applyBorder="1" applyFont="1" applyNumberFormat="1"/>
    <xf borderId="19" fillId="0" fontId="2" numFmtId="164" xfId="0" applyBorder="1" applyFont="1" applyNumberFormat="1"/>
    <xf borderId="20" fillId="0" fontId="1" numFmtId="0" xfId="0" applyBorder="1" applyFont="1"/>
    <xf borderId="21" fillId="0" fontId="1" numFmtId="1" xfId="0" applyBorder="1" applyFont="1" applyNumberFormat="1"/>
    <xf borderId="22" fillId="5" fontId="1" numFmtId="166" xfId="0" applyBorder="1" applyFill="1" applyFont="1" applyNumberFormat="1"/>
    <xf borderId="21" fillId="0" fontId="1" numFmtId="164" xfId="0" applyBorder="1" applyFont="1" applyNumberFormat="1"/>
    <xf borderId="23" fillId="5" fontId="1" numFmtId="166" xfId="0" applyBorder="1" applyFont="1" applyNumberFormat="1"/>
    <xf borderId="24" fillId="5" fontId="2" numFmtId="0" xfId="0" applyBorder="1" applyFont="1"/>
    <xf borderId="25" fillId="0" fontId="1" numFmtId="0" xfId="0" applyBorder="1" applyFont="1"/>
    <xf borderId="26" fillId="0" fontId="1" numFmtId="164" xfId="0" applyBorder="1" applyFont="1" applyNumberFormat="1"/>
    <xf borderId="27" fillId="5" fontId="1" numFmtId="166" xfId="0" applyBorder="1" applyFont="1" applyNumberFormat="1"/>
    <xf borderId="28" fillId="5" fontId="1" numFmtId="166" xfId="0" applyBorder="1" applyFont="1" applyNumberFormat="1"/>
    <xf borderId="29" fillId="5" fontId="2" numFmtId="0" xfId="0" applyBorder="1" applyFont="1"/>
    <xf borderId="30" fillId="5" fontId="1" numFmtId="0" xfId="0" applyBorder="1" applyFont="1"/>
    <xf borderId="31" fillId="0" fontId="1" numFmtId="166" xfId="0" applyBorder="1" applyFont="1" applyNumberFormat="1"/>
    <xf borderId="21" fillId="5" fontId="1" numFmtId="0" xfId="0" applyBorder="1" applyFont="1"/>
    <xf borderId="23" fillId="0" fontId="1" numFmtId="166" xfId="0" applyBorder="1" applyFont="1" applyNumberFormat="1"/>
    <xf borderId="32" fillId="5" fontId="2" numFmtId="0" xfId="0" applyBorder="1" applyFont="1"/>
    <xf borderId="26" fillId="0" fontId="1" numFmtId="0" xfId="0" applyBorder="1" applyFont="1"/>
    <xf borderId="27" fillId="5" fontId="1" numFmtId="0" xfId="0" applyBorder="1" applyFont="1"/>
    <xf borderId="21" fillId="0" fontId="1" numFmtId="0" xfId="0" applyBorder="1" applyFont="1"/>
    <xf borderId="23" fillId="5" fontId="1" numFmtId="0" xfId="0" applyBorder="1" applyFont="1"/>
    <xf borderId="33" fillId="5" fontId="2" numFmtId="0" xfId="0" applyBorder="1" applyFont="1"/>
    <xf borderId="0" fillId="0" fontId="4" numFmtId="0" xfId="0" applyFont="1"/>
    <xf borderId="34" fillId="0" fontId="1" numFmtId="0" xfId="0" applyBorder="1" applyFont="1"/>
    <xf borderId="23" fillId="0" fontId="1" numFmtId="0" xfId="0" applyBorder="1" applyFont="1"/>
    <xf borderId="35" fillId="0" fontId="2" numFmtId="0" xfId="0" applyBorder="1" applyFont="1"/>
    <xf borderId="36" fillId="0" fontId="1" numFmtId="0" xfId="0" applyBorder="1" applyFont="1"/>
    <xf borderId="37" fillId="0" fontId="2" numFmtId="0" xfId="0" applyBorder="1" applyFont="1"/>
    <xf borderId="38" fillId="0" fontId="2" numFmtId="2" xfId="0" applyBorder="1" applyFont="1" applyNumberFormat="1"/>
    <xf borderId="39" fillId="0" fontId="2" numFmtId="2" xfId="0" applyBorder="1" applyFont="1" applyNumberFormat="1"/>
    <xf borderId="0" fillId="0" fontId="2" numFmtId="0" xfId="0" applyFont="1"/>
    <xf borderId="26" fillId="0" fontId="2" numFmtId="2" xfId="0" applyBorder="1" applyFont="1" applyNumberFormat="1"/>
    <xf borderId="40" fillId="0" fontId="2" numFmtId="2" xfId="0" applyBorder="1" applyFont="1" applyNumberFormat="1"/>
    <xf borderId="41" fillId="0" fontId="2" numFmtId="2" xfId="0" applyBorder="1" applyFont="1" applyNumberFormat="1"/>
    <xf borderId="37" fillId="0" fontId="2" numFmtId="2" xfId="0" applyBorder="1" applyFont="1" applyNumberFormat="1"/>
    <xf borderId="42" fillId="0" fontId="2" numFmtId="0" xfId="0" applyBorder="1" applyFont="1"/>
    <xf borderId="13" fillId="0" fontId="2" numFmtId="0" xfId="0" applyBorder="1" applyFont="1"/>
    <xf borderId="43" fillId="0" fontId="2" numFmtId="2" xfId="0" applyBorder="1" applyFont="1" applyNumberFormat="1"/>
    <xf borderId="44" fillId="0" fontId="2" numFmtId="2" xfId="0" applyBorder="1" applyFont="1" applyNumberFormat="1"/>
    <xf borderId="12" fillId="0" fontId="2" numFmtId="2" xfId="0" applyBorder="1" applyFont="1" applyNumberFormat="1"/>
    <xf borderId="13" fillId="0" fontId="2" numFmtId="2" xfId="0" applyBorder="1" applyFont="1" applyNumberFormat="1"/>
    <xf borderId="45" fillId="0" fontId="2" numFmtId="2" xfId="0" applyBorder="1" applyFont="1" applyNumberFormat="1"/>
    <xf borderId="46" fillId="0" fontId="2" numFmtId="2" xfId="0" applyBorder="1" applyFont="1" applyNumberFormat="1"/>
    <xf borderId="19" fillId="0" fontId="2" numFmtId="0" xfId="0" applyBorder="1" applyFont="1"/>
    <xf borderId="47" fillId="0" fontId="2" numFmtId="2" xfId="0" applyBorder="1" applyFont="1" applyNumberFormat="1"/>
    <xf borderId="48" fillId="0" fontId="2" numFmtId="2" xfId="0" applyBorder="1" applyFont="1" applyNumberFormat="1"/>
    <xf borderId="18" fillId="0" fontId="2" numFmtId="2" xfId="0" applyBorder="1" applyFont="1" applyNumberFormat="1"/>
    <xf borderId="19" fillId="0" fontId="2" numFmtId="2" xfId="0" applyBorder="1" applyFont="1" applyNumberFormat="1"/>
    <xf borderId="49" fillId="0" fontId="2" numFmtId="0" xfId="0" applyBorder="1" applyFont="1"/>
    <xf borderId="0" fillId="0" fontId="2" numFmtId="2" xfId="0" applyFont="1" applyNumberFormat="1"/>
    <xf borderId="35" fillId="0" fontId="1" numFmtId="0" xfId="0" applyBorder="1" applyFont="1"/>
    <xf borderId="1" fillId="0" fontId="1" numFmtId="0" xfId="0" applyAlignment="1" applyBorder="1" applyFont="1">
      <alignment horizontal="center" vertical="center"/>
    </xf>
    <xf borderId="2" fillId="0" fontId="1" numFmtId="0" xfId="0" applyAlignment="1" applyBorder="1" applyFont="1">
      <alignment horizontal="center" vertical="center"/>
    </xf>
    <xf borderId="50" fillId="0" fontId="1" numFmtId="0" xfId="0" applyAlignment="1" applyBorder="1" applyFont="1">
      <alignment horizontal="center" vertical="center"/>
    </xf>
    <xf borderId="9" fillId="4" fontId="1" numFmtId="0" xfId="0" applyAlignment="1" applyBorder="1" applyFont="1">
      <alignment vertical="center"/>
    </xf>
    <xf borderId="51" fillId="4" fontId="1" numFmtId="0" xfId="0" applyAlignment="1" applyBorder="1" applyFont="1">
      <alignment vertical="center"/>
    </xf>
    <xf borderId="52" fillId="4" fontId="1" numFmtId="0" xfId="0" applyAlignment="1" applyBorder="1" applyFont="1">
      <alignment vertical="center"/>
    </xf>
    <xf borderId="25" fillId="0" fontId="5" numFmtId="0" xfId="0" applyBorder="1" applyFont="1"/>
    <xf borderId="26" fillId="0" fontId="5" numFmtId="0" xfId="0" applyBorder="1" applyFont="1"/>
    <xf borderId="53" fillId="0" fontId="5" numFmtId="0" xfId="0" applyBorder="1" applyFont="1"/>
    <xf borderId="19" fillId="0" fontId="1" numFmtId="0" xfId="0" applyAlignment="1" applyBorder="1" applyFont="1">
      <alignment vertical="center"/>
    </xf>
    <xf borderId="47" fillId="0" fontId="1" numFmtId="0" xfId="0" applyAlignment="1" applyBorder="1" applyFont="1">
      <alignment vertical="center"/>
    </xf>
    <xf borderId="47" fillId="0" fontId="1" numFmtId="0" xfId="0" applyAlignment="1" applyBorder="1" applyFont="1">
      <alignment horizontal="center" vertical="center"/>
    </xf>
    <xf borderId="48" fillId="0" fontId="1" numFmtId="0" xfId="0" applyAlignment="1" applyBorder="1" applyFont="1">
      <alignment horizontal="center" vertical="center"/>
    </xf>
    <xf borderId="45" fillId="0" fontId="1" numFmtId="0" xfId="0" applyAlignment="1" applyBorder="1" applyFont="1">
      <alignment horizontal="center" vertical="center"/>
    </xf>
    <xf borderId="38" fillId="0" fontId="1" numFmtId="0" xfId="0" applyBorder="1" applyFont="1"/>
    <xf borderId="39" fillId="0" fontId="1" numFmtId="0" xfId="0" applyBorder="1" applyFont="1"/>
    <xf borderId="54" fillId="6" fontId="1" numFmtId="2" xfId="0" applyBorder="1" applyFill="1" applyFont="1" applyNumberFormat="1"/>
    <xf borderId="55" fillId="6" fontId="1" numFmtId="2" xfId="0" applyBorder="1" applyFont="1" applyNumberFormat="1"/>
    <xf borderId="56" fillId="6" fontId="1" numFmtId="2" xfId="0" applyBorder="1" applyFont="1" applyNumberFormat="1"/>
    <xf borderId="45" fillId="0" fontId="5" numFmtId="0" xfId="0" applyBorder="1" applyFont="1"/>
    <xf borderId="43" fillId="0" fontId="1" numFmtId="0" xfId="0" applyBorder="1" applyFont="1"/>
    <xf borderId="44" fillId="0" fontId="1" numFmtId="0" xfId="0" applyBorder="1" applyFont="1"/>
    <xf borderId="14" fillId="6" fontId="1" numFmtId="2" xfId="0" applyBorder="1" applyFont="1" applyNumberFormat="1"/>
    <xf borderId="43" fillId="6" fontId="1" numFmtId="2" xfId="0" applyBorder="1" applyFont="1" applyNumberFormat="1"/>
    <xf borderId="44" fillId="6" fontId="1" numFmtId="2" xfId="0" applyBorder="1" applyFont="1" applyNumberFormat="1"/>
    <xf borderId="43" fillId="0" fontId="2" numFmtId="0" xfId="0" applyBorder="1" applyFont="1"/>
    <xf borderId="44" fillId="0" fontId="2" numFmtId="0" xfId="0" applyBorder="1" applyFont="1"/>
    <xf borderId="14" fillId="6" fontId="2" numFmtId="2" xfId="0" applyBorder="1" applyFont="1" applyNumberFormat="1"/>
    <xf borderId="43" fillId="6" fontId="2" numFmtId="2" xfId="0" applyBorder="1" applyFont="1" applyNumberFormat="1"/>
    <xf borderId="44" fillId="6" fontId="2" numFmtId="2" xfId="0" applyBorder="1" applyFont="1" applyNumberFormat="1"/>
    <xf borderId="47" fillId="0" fontId="1" numFmtId="0" xfId="0" applyBorder="1" applyFont="1"/>
    <xf borderId="48" fillId="0" fontId="1" numFmtId="0" xfId="0" applyBorder="1" applyFont="1"/>
    <xf borderId="57" fillId="6" fontId="1" numFmtId="2" xfId="0" applyBorder="1" applyFont="1" applyNumberFormat="1"/>
    <xf borderId="58" fillId="6" fontId="1" numFmtId="2" xfId="0" applyBorder="1" applyFont="1" applyNumberFormat="1"/>
    <xf borderId="59" fillId="6" fontId="1" numFmtId="2" xfId="0" applyBorder="1" applyFont="1" applyNumberFormat="1"/>
    <xf borderId="51" fillId="0" fontId="2" numFmtId="0" xfId="0" applyBorder="1" applyFont="1"/>
    <xf borderId="52" fillId="0" fontId="2" numFmtId="0" xfId="0" applyBorder="1" applyFont="1"/>
    <xf borderId="60" fillId="6" fontId="2" numFmtId="2" xfId="0" applyBorder="1" applyFont="1" applyNumberFormat="1"/>
    <xf borderId="51" fillId="6" fontId="2" numFmtId="2" xfId="0" applyBorder="1" applyFont="1" applyNumberFormat="1"/>
    <xf borderId="52" fillId="6" fontId="2" numFmtId="2" xfId="0" applyBorder="1" applyFont="1" applyNumberFormat="1"/>
    <xf borderId="47" fillId="0" fontId="2" numFmtId="0" xfId="0" applyBorder="1" applyFont="1"/>
    <xf borderId="48" fillId="0" fontId="2" numFmtId="0" xfId="0" applyBorder="1" applyFont="1"/>
    <xf borderId="61" fillId="6" fontId="2" numFmtId="2" xfId="0" applyBorder="1" applyFont="1" applyNumberFormat="1"/>
    <xf borderId="47" fillId="6" fontId="2" numFmtId="2" xfId="0" applyBorder="1" applyFont="1" applyNumberFormat="1"/>
    <xf borderId="48" fillId="6" fontId="2" numFmtId="2" xfId="0" applyBorder="1" applyFont="1" applyNumberFormat="1"/>
    <xf borderId="0" fillId="0" fontId="6" numFmtId="164" xfId="0" applyFont="1" applyNumberFormat="1"/>
    <xf borderId="0" fillId="0" fontId="2" numFmtId="11" xfId="0" applyFont="1" applyNumberFormat="1"/>
    <xf borderId="62" fillId="0" fontId="1" numFmtId="0" xfId="0" applyAlignment="1" applyBorder="1" applyFont="1">
      <alignment horizontal="center" vertical="center"/>
    </xf>
    <xf borderId="4" fillId="0" fontId="1" numFmtId="0" xfId="0" applyAlignment="1" applyBorder="1" applyFont="1">
      <alignment horizontal="center" vertical="center"/>
    </xf>
    <xf borderId="3" fillId="0" fontId="1" numFmtId="0" xfId="0" applyAlignment="1" applyBorder="1" applyFont="1">
      <alignment horizontal="center" vertical="center"/>
    </xf>
    <xf borderId="63" fillId="0" fontId="1" numFmtId="0" xfId="0" applyAlignment="1" applyBorder="1" applyFont="1">
      <alignment horizontal="center" vertical="center"/>
    </xf>
    <xf borderId="64" fillId="0" fontId="5" numFmtId="0" xfId="0" applyBorder="1" applyFont="1"/>
    <xf borderId="65" fillId="0" fontId="5" numFmtId="0" xfId="0" applyBorder="1" applyFont="1"/>
    <xf borderId="40" fillId="0" fontId="5" numFmtId="0" xfId="0" applyBorder="1" applyFont="1"/>
    <xf borderId="66" fillId="0" fontId="5" numFmtId="0" xfId="0" applyBorder="1" applyFont="1"/>
    <xf borderId="0" fillId="0" fontId="1" numFmtId="2" xfId="0" applyAlignment="1" applyFont="1" applyNumberFormat="1">
      <alignment horizontal="center"/>
    </xf>
    <xf borderId="38" fillId="0" fontId="1" numFmtId="2" xfId="0" applyBorder="1" applyFont="1" applyNumberFormat="1"/>
    <xf borderId="39" fillId="0" fontId="1" numFmtId="2" xfId="0" applyBorder="1" applyFont="1" applyNumberFormat="1"/>
    <xf borderId="43" fillId="0" fontId="1" numFmtId="2" xfId="0" applyBorder="1" applyFont="1" applyNumberFormat="1"/>
    <xf borderId="44" fillId="0" fontId="1" numFmtId="2" xfId="0" applyBorder="1" applyFont="1" applyNumberFormat="1"/>
    <xf borderId="67" fillId="0" fontId="1" numFmtId="2" xfId="0" applyBorder="1" applyFont="1" applyNumberFormat="1"/>
    <xf borderId="68" fillId="0" fontId="1" numFmtId="2" xfId="0" applyBorder="1" applyFont="1" applyNumberFormat="1"/>
    <xf borderId="51" fillId="0" fontId="2" numFmtId="2" xfId="0" applyBorder="1" applyFont="1" applyNumberFormat="1"/>
    <xf borderId="52" fillId="0" fontId="2" numFmtId="2" xfId="0" applyBorder="1" applyFont="1" applyNumberFormat="1"/>
    <xf borderId="9" fillId="0" fontId="1" numFmtId="0" xfId="0" applyBorder="1" applyFont="1"/>
    <xf borderId="51" fillId="0" fontId="1" numFmtId="0" xfId="0" applyBorder="1" applyFont="1"/>
    <xf borderId="52" fillId="0" fontId="1" numFmtId="0" xfId="0" applyBorder="1" applyFont="1"/>
    <xf borderId="69" fillId="0" fontId="2" numFmtId="0" xfId="0" applyBorder="1" applyFont="1"/>
    <xf borderId="67" fillId="0" fontId="2" numFmtId="0" xfId="0" applyBorder="1" applyFont="1"/>
    <xf borderId="68" fillId="0" fontId="2" numFmtId="0" xfId="0" applyBorder="1" applyFont="1"/>
    <xf borderId="70" fillId="0" fontId="1" numFmtId="0" xfId="0" applyAlignment="1" applyBorder="1" applyFont="1">
      <alignment horizontal="center"/>
    </xf>
    <xf borderId="71" fillId="0"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Climate change</a:t>
            </a:r>
          </a:p>
        </c:rich>
      </c:tx>
      <c:layout>
        <c:manualLayout>
          <c:xMode val="edge"/>
          <c:yMode val="edge"/>
          <c:x val="0.3554081595439549"/>
          <c:y val="0.026595735398260666"/>
        </c:manualLayout>
      </c:layout>
      <c:overlay val="0"/>
    </c:title>
    <c:plotArea>
      <c:layout>
        <c:manualLayout>
          <c:xMode val="edge"/>
          <c:yMode val="edge"/>
          <c:x val="0.10403532637261267"/>
          <c:y val="0.10610230074365413"/>
          <c:w val="0.8773990065065843"/>
          <c:h val="0.8161027459889072"/>
        </c:manualLayout>
      </c:layout>
      <c:barChart>
        <c:barDir val="col"/>
        <c:grouping val="stacked"/>
        <c:ser>
          <c:idx val="0"/>
          <c:order val="0"/>
          <c:tx>
            <c:v>Climate change - Biogenic</c:v>
          </c:tx>
          <c:spPr>
            <a:solidFill>
              <a:srgbClr val="2F6EBA"/>
            </a:solidFill>
            <a:ln cmpd="sng">
              <a:solidFill>
                <a:srgbClr val="000000"/>
              </a:solidFill>
            </a:ln>
          </c:spPr>
          <c:cat>
            <c:strRef>
              <c:f>Results!$B$25:$E$25</c:f>
            </c:strRef>
          </c:cat>
          <c:val>
            <c:numRef>
              <c:f>Results!$B$26:$E$26</c:f>
              <c:numCache/>
            </c:numRef>
          </c:val>
        </c:ser>
        <c:ser>
          <c:idx val="1"/>
          <c:order val="1"/>
          <c:tx>
            <c:v>Climate change - Fossil</c:v>
          </c:tx>
          <c:spPr>
            <a:solidFill>
              <a:schemeClr val="accent2"/>
            </a:solidFill>
            <a:ln cmpd="sng">
              <a:solidFill>
                <a:srgbClr val="000000"/>
              </a:solidFill>
            </a:ln>
          </c:spPr>
          <c:cat>
            <c:strRef>
              <c:f>Results!$B$25:$E$25</c:f>
            </c:strRef>
          </c:cat>
          <c:val>
            <c:numRef>
              <c:f>Results!$B$27:$E$27</c:f>
              <c:numCache/>
            </c:numRef>
          </c:val>
        </c:ser>
        <c:ser>
          <c:idx val="2"/>
          <c:order val="2"/>
          <c:tx>
            <c:v>Climate change - Land use and LU change</c:v>
          </c:tx>
          <c:spPr>
            <a:solidFill>
              <a:schemeClr val="accent3"/>
            </a:solidFill>
            <a:ln cmpd="sng">
              <a:solidFill>
                <a:srgbClr val="000000"/>
              </a:solidFill>
            </a:ln>
          </c:spPr>
          <c:cat>
            <c:strRef>
              <c:f>Results!$B$25:$E$25</c:f>
            </c:strRef>
          </c:cat>
          <c:val>
            <c:numRef>
              <c:f>Results!$B$28:$E$28</c:f>
              <c:numCache/>
            </c:numRef>
          </c:val>
        </c:ser>
        <c:overlap val="100"/>
        <c:axId val="2134778607"/>
        <c:axId val="1760617837"/>
      </c:barChart>
      <c:catAx>
        <c:axId val="21347786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1760617837"/>
      </c:catAx>
      <c:valAx>
        <c:axId val="1760617837"/>
        <c:scaling>
          <c:orientation val="minMax"/>
        </c:scaling>
        <c:delete val="0"/>
        <c:axPos val="l"/>
        <c:title>
          <c:tx>
            <c:rich>
              <a:bodyPr/>
              <a:lstStyle/>
              <a:p>
                <a:pPr lvl="0">
                  <a:defRPr b="1" i="0" sz="800">
                    <a:solidFill>
                      <a:srgbClr val="000000"/>
                    </a:solidFill>
                    <a:latin typeface="+mn-lt"/>
                  </a:defRPr>
                </a:pPr>
                <a:r>
                  <a:rPr b="1" i="0" sz="800">
                    <a:solidFill>
                      <a:srgbClr val="000000"/>
                    </a:solidFill>
                    <a:latin typeface="+mn-lt"/>
                  </a:rPr>
                  <a:t>kg CO2 eq / tonne striped bass at farmgate
</a:t>
                </a:r>
              </a:p>
            </c:rich>
          </c:tx>
          <c:layout>
            <c:manualLayout>
              <c:xMode val="edge"/>
              <c:yMode val="edge"/>
              <c:x val="0.0023571870692741257"/>
              <c:y val="0.2402295668954999"/>
            </c:manualLayout>
          </c:layout>
          <c:overlay val="0"/>
        </c:title>
        <c:numFmt formatCode="#,##0" sourceLinked="0"/>
        <c:majorTickMark val="none"/>
        <c:minorTickMark val="none"/>
        <c:tickLblPos val="nextTo"/>
        <c:spPr>
          <a:ln/>
        </c:spPr>
        <c:txPr>
          <a:bodyPr/>
          <a:lstStyle/>
          <a:p>
            <a:pPr lvl="0">
              <a:defRPr b="0" i="0" sz="900">
                <a:solidFill>
                  <a:srgbClr val="000000"/>
                </a:solidFill>
                <a:latin typeface="+mn-lt"/>
              </a:defRPr>
            </a:pPr>
          </a:p>
        </c:txPr>
        <c:crossAx val="2134778607"/>
      </c:valAx>
    </c:plotArea>
    <c:legend>
      <c:legendPos val="l"/>
      <c:layout>
        <c:manualLayout>
          <c:xMode val="edge"/>
          <c:yMode val="edge"/>
          <c:x val="0.706454858235461"/>
          <c:y val="0.013788305435493869"/>
        </c:manualLayout>
      </c:layout>
      <c:overlay val="0"/>
      <c:txPr>
        <a:bodyPr/>
        <a:lstStyle/>
        <a:p>
          <a:pPr lvl="0">
            <a:defRPr b="0" i="0" sz="7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Land competition</a:t>
            </a:r>
          </a:p>
        </c:rich>
      </c:tx>
      <c:layout>
        <c:manualLayout>
          <c:xMode val="edge"/>
          <c:yMode val="edge"/>
          <c:x val="0.3554081595439549"/>
          <c:y val="0.026595735398260666"/>
        </c:manualLayout>
      </c:layout>
      <c:overlay val="0"/>
    </c:title>
    <c:plotArea>
      <c:layout>
        <c:manualLayout>
          <c:xMode val="edge"/>
          <c:yMode val="edge"/>
          <c:x val="0.10600233259520629"/>
          <c:y val="0.06617229905641421"/>
          <c:w val="0.870738221639025"/>
          <c:h val="0.8696789803273978"/>
        </c:manualLayout>
      </c:layout>
      <c:barChart>
        <c:barDir val="col"/>
        <c:grouping val="stacked"/>
        <c:ser>
          <c:idx val="0"/>
          <c:order val="0"/>
          <c:tx>
            <c:v>Climate change - Biogenic</c:v>
          </c:tx>
          <c:spPr>
            <a:solidFill>
              <a:srgbClr val="2F6EBA"/>
            </a:solidFill>
            <a:ln cmpd="sng">
              <a:solidFill>
                <a:srgbClr val="000000"/>
              </a:solidFill>
            </a:ln>
          </c:spPr>
          <c:cat>
            <c:strRef>
              <c:f>Results!$I$25:$L$25</c:f>
            </c:strRef>
          </c:cat>
          <c:val>
            <c:numRef>
              <c:f>Results!$I$26:$L$26</c:f>
              <c:numCache/>
            </c:numRef>
          </c:val>
        </c:ser>
        <c:overlap val="100"/>
        <c:axId val="862277567"/>
        <c:axId val="837518606"/>
      </c:barChart>
      <c:catAx>
        <c:axId val="8622775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837518606"/>
      </c:catAx>
      <c:valAx>
        <c:axId val="837518606"/>
        <c:scaling>
          <c:orientation val="minMax"/>
          <c:min val="0.0"/>
        </c:scaling>
        <c:delete val="0"/>
        <c:axPos val="l"/>
        <c:title>
          <c:tx>
            <c:rich>
              <a:bodyPr/>
              <a:lstStyle/>
              <a:p>
                <a:pPr lvl="0">
                  <a:defRPr b="1" i="0" sz="800">
                    <a:solidFill>
                      <a:srgbClr val="000000"/>
                    </a:solidFill>
                    <a:latin typeface="+mn-lt"/>
                  </a:defRPr>
                </a:pPr>
                <a:r>
                  <a:rPr b="1" i="0" sz="800">
                    <a:solidFill>
                      <a:srgbClr val="000000"/>
                    </a:solidFill>
                    <a:latin typeface="+mn-lt"/>
                  </a:rPr>
                  <a:t>m2a / tonne striped bass at farmgate
</a:t>
                </a:r>
              </a:p>
            </c:rich>
          </c:tx>
          <c:layout>
            <c:manualLayout>
              <c:xMode val="edge"/>
              <c:yMode val="edge"/>
              <c:x val="0.0023571870692741257"/>
              <c:y val="0.2402295668954999"/>
            </c:manualLayout>
          </c:layout>
          <c:overlay val="0"/>
        </c:title>
        <c:numFmt formatCode="#,##0" sourceLinked="0"/>
        <c:majorTickMark val="none"/>
        <c:minorTickMark val="none"/>
        <c:tickLblPos val="nextTo"/>
        <c:spPr>
          <a:ln/>
        </c:spPr>
        <c:txPr>
          <a:bodyPr/>
          <a:lstStyle/>
          <a:p>
            <a:pPr lvl="0">
              <a:defRPr b="0" i="0" sz="900">
                <a:solidFill>
                  <a:srgbClr val="000000"/>
                </a:solidFill>
                <a:latin typeface="+mn-lt"/>
              </a:defRPr>
            </a:pPr>
          </a:p>
        </c:txPr>
        <c:crossAx val="862277567"/>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Consumptive water use</a:t>
            </a:r>
          </a:p>
        </c:rich>
      </c:tx>
      <c:layout>
        <c:manualLayout>
          <c:xMode val="edge"/>
          <c:yMode val="edge"/>
          <c:x val="0.3554081595439549"/>
          <c:y val="0.026595735398260666"/>
        </c:manualLayout>
      </c:layout>
      <c:overlay val="0"/>
    </c:title>
    <c:plotArea>
      <c:layout>
        <c:manualLayout>
          <c:xMode val="edge"/>
          <c:yMode val="edge"/>
          <c:x val="0.08610267353573417"/>
          <c:y val="0.06617229905641421"/>
          <c:w val="0.8906378806984971"/>
          <c:h val="0.8696789803273978"/>
        </c:manualLayout>
      </c:layout>
      <c:barChart>
        <c:barDir val="col"/>
        <c:grouping val="stacked"/>
        <c:ser>
          <c:idx val="0"/>
          <c:order val="0"/>
          <c:tx>
            <c:v>Blue water</c:v>
          </c:tx>
          <c:spPr>
            <a:solidFill>
              <a:schemeClr val="accent1"/>
            </a:solidFill>
            <a:ln cmpd="sng">
              <a:solidFill>
                <a:srgbClr val="000000"/>
              </a:solidFill>
            </a:ln>
          </c:spPr>
          <c:cat>
            <c:strRef>
              <c:f>Results!$P$25:$S$25</c:f>
            </c:strRef>
          </c:cat>
          <c:val>
            <c:numRef>
              <c:f>Results!$P$26:$S$26</c:f>
              <c:numCache/>
            </c:numRef>
          </c:val>
        </c:ser>
        <c:ser>
          <c:idx val="1"/>
          <c:order val="1"/>
          <c:tx>
            <c:v>Green water</c:v>
          </c:tx>
          <c:spPr>
            <a:solidFill>
              <a:schemeClr val="accent6"/>
            </a:solidFill>
            <a:ln cmpd="sng">
              <a:solidFill>
                <a:srgbClr val="000000"/>
              </a:solidFill>
            </a:ln>
          </c:spPr>
          <c:cat>
            <c:strRef>
              <c:f>Results!$P$25:$S$25</c:f>
            </c:strRef>
          </c:cat>
          <c:val>
            <c:numRef>
              <c:f>Results!$P$27:$S$27</c:f>
              <c:numCache/>
            </c:numRef>
          </c:val>
        </c:ser>
        <c:ser>
          <c:idx val="2"/>
          <c:order val="2"/>
          <c:tx>
            <c:v>Grey water</c:v>
          </c:tx>
          <c:spPr>
            <a:solidFill>
              <a:schemeClr val="accent3"/>
            </a:solidFill>
            <a:ln cmpd="sng">
              <a:solidFill>
                <a:srgbClr val="000000"/>
              </a:solidFill>
            </a:ln>
          </c:spPr>
          <c:cat>
            <c:strRef>
              <c:f>Results!$P$25:$S$25</c:f>
            </c:strRef>
          </c:cat>
          <c:val>
            <c:numRef>
              <c:f>Results!$P$28:$S$28</c:f>
              <c:numCache/>
            </c:numRef>
          </c:val>
        </c:ser>
        <c:overlap val="100"/>
        <c:axId val="259314742"/>
        <c:axId val="835800822"/>
      </c:barChart>
      <c:catAx>
        <c:axId val="259314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835800822"/>
      </c:catAx>
      <c:valAx>
        <c:axId val="835800822"/>
        <c:scaling>
          <c:orientation val="minMax"/>
        </c:scaling>
        <c:delete val="0"/>
        <c:axPos val="l"/>
        <c:title>
          <c:tx>
            <c:rich>
              <a:bodyPr/>
              <a:lstStyle/>
              <a:p>
                <a:pPr lvl="0">
                  <a:defRPr b="1" i="0" sz="800">
                    <a:solidFill>
                      <a:srgbClr val="000000"/>
                    </a:solidFill>
                    <a:latin typeface="+mn-lt"/>
                  </a:defRPr>
                </a:pPr>
                <a:r>
                  <a:rPr b="1" i="0" sz="800">
                    <a:solidFill>
                      <a:srgbClr val="000000"/>
                    </a:solidFill>
                    <a:latin typeface="+mn-lt"/>
                  </a:rPr>
                  <a:t>m3 / tonne striped bass at farmgate
</a:t>
                </a:r>
              </a:p>
            </c:rich>
          </c:tx>
          <c:layout>
            <c:manualLayout>
              <c:xMode val="edge"/>
              <c:yMode val="edge"/>
              <c:x val="0.0023571870692741257"/>
              <c:y val="0.2402295668954999"/>
            </c:manualLayout>
          </c:layout>
          <c:overlay val="0"/>
        </c:title>
        <c:numFmt formatCode="#,##0" sourceLinked="0"/>
        <c:majorTickMark val="none"/>
        <c:minorTickMark val="none"/>
        <c:tickLblPos val="nextTo"/>
        <c:spPr>
          <a:ln/>
        </c:spPr>
        <c:txPr>
          <a:bodyPr/>
          <a:lstStyle/>
          <a:p>
            <a:pPr lvl="0">
              <a:defRPr b="0" i="0" sz="900">
                <a:solidFill>
                  <a:srgbClr val="000000"/>
                </a:solidFill>
                <a:latin typeface="+mn-lt"/>
              </a:defRPr>
            </a:pPr>
          </a:p>
        </c:txPr>
        <c:crossAx val="259314742"/>
      </c:valAx>
    </c:plotArea>
    <c:legend>
      <c:legendPos val="r"/>
      <c:layout>
        <c:manualLayout>
          <c:xMode val="edge"/>
          <c:yMode val="edge"/>
          <c:x val="0.8245635263101174"/>
          <c:y val="0.02153616866670971"/>
        </c:manualLayout>
      </c:layout>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Climate change</a:t>
            </a:r>
          </a:p>
        </c:rich>
      </c:tx>
      <c:layout>
        <c:manualLayout>
          <c:xMode val="edge"/>
          <c:yMode val="edge"/>
          <c:x val="0.3554081595439549"/>
          <c:y val="0.026595735398260666"/>
        </c:manualLayout>
      </c:layout>
      <c:overlay val="0"/>
    </c:title>
    <c:plotArea>
      <c:layout>
        <c:manualLayout>
          <c:xMode val="edge"/>
          <c:yMode val="edge"/>
          <c:x val="0.10845379798900567"/>
          <c:y val="0.10610230074365413"/>
          <c:w val="0.8729805987404884"/>
          <c:h val="0.8696789803273978"/>
        </c:manualLayout>
      </c:layout>
      <c:barChart>
        <c:barDir val="col"/>
        <c:grouping val="stacked"/>
        <c:ser>
          <c:idx val="0"/>
          <c:order val="0"/>
          <c:tx>
            <c:v>Climate change - Biogenic</c:v>
          </c:tx>
          <c:spPr>
            <a:solidFill>
              <a:schemeClr val="accent1"/>
            </a:solidFill>
            <a:ln cmpd="sng">
              <a:solidFill>
                <a:srgbClr val="000000"/>
              </a:solidFill>
            </a:ln>
          </c:spPr>
          <c:cat>
            <c:strRef>
              <c:f>Results!$B$57:$C$57</c:f>
            </c:strRef>
          </c:cat>
          <c:val>
            <c:numRef>
              <c:f>Results!$B$58:$C$58</c:f>
              <c:numCache/>
            </c:numRef>
          </c:val>
        </c:ser>
        <c:ser>
          <c:idx val="1"/>
          <c:order val="1"/>
          <c:tx>
            <c:v>Climate change - Fossil</c:v>
          </c:tx>
          <c:spPr>
            <a:solidFill>
              <a:schemeClr val="accent2"/>
            </a:solidFill>
            <a:ln cmpd="sng">
              <a:solidFill>
                <a:srgbClr val="000000"/>
              </a:solidFill>
            </a:ln>
          </c:spPr>
          <c:cat>
            <c:strRef>
              <c:f>Results!$B$57:$C$57</c:f>
            </c:strRef>
          </c:cat>
          <c:val>
            <c:numRef>
              <c:f>Results!$B$59:$C$59</c:f>
              <c:numCache/>
            </c:numRef>
          </c:val>
        </c:ser>
        <c:ser>
          <c:idx val="2"/>
          <c:order val="2"/>
          <c:tx>
            <c:v>Climate change - Land use and LU change</c:v>
          </c:tx>
          <c:spPr>
            <a:solidFill>
              <a:schemeClr val="accent3"/>
            </a:solidFill>
            <a:ln cmpd="sng">
              <a:solidFill>
                <a:srgbClr val="000000"/>
              </a:solidFill>
            </a:ln>
          </c:spPr>
          <c:cat>
            <c:strRef>
              <c:f>Results!$B$57:$C$57</c:f>
            </c:strRef>
          </c:cat>
          <c:val>
            <c:numRef>
              <c:f>Results!$B$60:$C$60</c:f>
              <c:numCache/>
            </c:numRef>
          </c:val>
        </c:ser>
        <c:overlap val="100"/>
        <c:axId val="1653932630"/>
        <c:axId val="313521779"/>
      </c:barChart>
      <c:catAx>
        <c:axId val="16539326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313521779"/>
      </c:catAx>
      <c:valAx>
        <c:axId val="313521779"/>
        <c:scaling>
          <c:orientation val="minMax"/>
        </c:scaling>
        <c:delete val="0"/>
        <c:axPos val="l"/>
        <c:title>
          <c:tx>
            <c:rich>
              <a:bodyPr/>
              <a:lstStyle/>
              <a:p>
                <a:pPr lvl="0">
                  <a:defRPr b="1" i="0" sz="800">
                    <a:solidFill>
                      <a:srgbClr val="000000"/>
                    </a:solidFill>
                    <a:latin typeface="+mn-lt"/>
                  </a:defRPr>
                </a:pPr>
                <a:r>
                  <a:rPr b="1" i="0" sz="800">
                    <a:solidFill>
                      <a:srgbClr val="000000"/>
                    </a:solidFill>
                    <a:latin typeface="+mn-lt"/>
                  </a:rPr>
                  <a:t>kg CO2 eq / tonne ingredient
</a:t>
                </a:r>
              </a:p>
            </c:rich>
          </c:tx>
          <c:layout>
            <c:manualLayout>
              <c:xMode val="edge"/>
              <c:yMode val="edge"/>
              <c:x val="0.0023571870692741257"/>
              <c:y val="0.2402295668954999"/>
            </c:manualLayout>
          </c:layout>
          <c:overlay val="0"/>
        </c:title>
        <c:numFmt formatCode="#,##0" sourceLinked="0"/>
        <c:majorTickMark val="none"/>
        <c:minorTickMark val="none"/>
        <c:tickLblPos val="nextTo"/>
        <c:spPr>
          <a:ln/>
        </c:spPr>
        <c:txPr>
          <a:bodyPr/>
          <a:lstStyle/>
          <a:p>
            <a:pPr lvl="0">
              <a:defRPr b="0" i="0" sz="900">
                <a:solidFill>
                  <a:srgbClr val="000000"/>
                </a:solidFill>
                <a:latin typeface="+mn-lt"/>
              </a:defRPr>
            </a:pPr>
          </a:p>
        </c:txPr>
        <c:crossAx val="1653932630"/>
      </c:valAx>
    </c:plotArea>
    <c:legend>
      <c:legendPos val="l"/>
      <c:layout>
        <c:manualLayout>
          <c:xMode val="edge"/>
          <c:yMode val="edge"/>
          <c:x val="0.7039950398899266"/>
          <c:y val="0.010339315741678144"/>
        </c:manualLayout>
      </c:layout>
      <c:overlay val="0"/>
      <c:txPr>
        <a:bodyPr/>
        <a:lstStyle/>
        <a:p>
          <a:pPr lvl="0">
            <a:defRPr b="0" i="0" sz="7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Land competition</a:t>
            </a:r>
          </a:p>
        </c:rich>
      </c:tx>
      <c:layout>
        <c:manualLayout>
          <c:xMode val="edge"/>
          <c:yMode val="edge"/>
          <c:x val="0.3554081595439549"/>
          <c:y val="0.026595735398260666"/>
        </c:manualLayout>
      </c:layout>
      <c:overlay val="0"/>
    </c:title>
    <c:plotArea>
      <c:layout>
        <c:manualLayout>
          <c:xMode val="edge"/>
          <c:yMode val="edge"/>
          <c:x val="0.0949250310195201"/>
          <c:y val="0.06617229905641421"/>
          <c:w val="0.881815498101124"/>
          <c:h val="0.8696789803273978"/>
        </c:manualLayout>
      </c:layout>
      <c:barChart>
        <c:barDir val="col"/>
        <c:grouping val="stacked"/>
        <c:ser>
          <c:idx val="0"/>
          <c:order val="0"/>
          <c:spPr>
            <a:solidFill>
              <a:schemeClr val="accent2"/>
            </a:solidFill>
            <a:ln cmpd="sng">
              <a:solidFill>
                <a:srgbClr val="000000"/>
              </a:solidFill>
            </a:ln>
          </c:spPr>
          <c:cat>
            <c:strRef>
              <c:f>Results!$F$57:$G$57</c:f>
            </c:strRef>
          </c:cat>
          <c:val>
            <c:numRef>
              <c:f>Results!$F$58:$G$58</c:f>
              <c:numCache/>
            </c:numRef>
          </c:val>
        </c:ser>
        <c:overlap val="100"/>
        <c:axId val="592865819"/>
        <c:axId val="1712935858"/>
      </c:barChart>
      <c:catAx>
        <c:axId val="5928658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1712935858"/>
      </c:catAx>
      <c:valAx>
        <c:axId val="1712935858"/>
        <c:scaling>
          <c:orientation val="minMax"/>
        </c:scaling>
        <c:delete val="0"/>
        <c:axPos val="l"/>
        <c:title>
          <c:tx>
            <c:rich>
              <a:bodyPr/>
              <a:lstStyle/>
              <a:p>
                <a:pPr lvl="0">
                  <a:defRPr b="1" i="0" sz="800">
                    <a:solidFill>
                      <a:srgbClr val="000000"/>
                    </a:solidFill>
                    <a:latin typeface="+mn-lt"/>
                  </a:defRPr>
                </a:pPr>
                <a:r>
                  <a:rPr b="1" i="0" sz="800">
                    <a:solidFill>
                      <a:srgbClr val="000000"/>
                    </a:solidFill>
                    <a:latin typeface="+mn-lt"/>
                  </a:rPr>
                  <a:t>m2a / tonne ingredient
</a:t>
                </a:r>
              </a:p>
            </c:rich>
          </c:tx>
          <c:layout>
            <c:manualLayout>
              <c:xMode val="edge"/>
              <c:yMode val="edge"/>
              <c:x val="0.0023571870692741257"/>
              <c:y val="0.2402295668954999"/>
            </c:manualLayout>
          </c:layout>
          <c:overlay val="0"/>
        </c:title>
        <c:numFmt formatCode="#,##0.0" sourceLinked="0"/>
        <c:majorTickMark val="none"/>
        <c:minorTickMark val="none"/>
        <c:tickLblPos val="nextTo"/>
        <c:spPr>
          <a:ln/>
        </c:spPr>
        <c:txPr>
          <a:bodyPr/>
          <a:lstStyle/>
          <a:p>
            <a:pPr lvl="0">
              <a:defRPr b="0" i="0" sz="900">
                <a:solidFill>
                  <a:srgbClr val="000000"/>
                </a:solidFill>
                <a:latin typeface="+mn-lt"/>
              </a:defRPr>
            </a:pPr>
          </a:p>
        </c:txPr>
        <c:crossAx val="592865819"/>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Consumptive water use</a:t>
            </a:r>
          </a:p>
        </c:rich>
      </c:tx>
      <c:layout>
        <c:manualLayout>
          <c:xMode val="edge"/>
          <c:yMode val="edge"/>
          <c:x val="0.3554081595439549"/>
          <c:y val="0.026595735398260666"/>
        </c:manualLayout>
      </c:layout>
      <c:overlay val="0"/>
    </c:title>
    <c:plotArea>
      <c:layout>
        <c:manualLayout>
          <c:xMode val="edge"/>
          <c:yMode val="edge"/>
          <c:x val="0.08389158857582255"/>
          <c:y val="0.06617229905641421"/>
          <c:w val="0.8928488867861497"/>
          <c:h val="0.8696789803273978"/>
        </c:manualLayout>
      </c:layout>
      <c:barChart>
        <c:barDir val="col"/>
        <c:grouping val="stacked"/>
        <c:ser>
          <c:idx val="0"/>
          <c:order val="0"/>
          <c:tx>
            <c:v>Blue water</c:v>
          </c:tx>
          <c:spPr>
            <a:solidFill>
              <a:schemeClr val="accent1"/>
            </a:solidFill>
            <a:ln cmpd="sng">
              <a:solidFill>
                <a:srgbClr val="000000"/>
              </a:solidFill>
            </a:ln>
          </c:spPr>
          <c:cat>
            <c:strRef>
              <c:f>Results!$J$57:$K$57</c:f>
            </c:strRef>
          </c:cat>
          <c:val>
            <c:numRef>
              <c:f>Results!$J$58:$K$58</c:f>
              <c:numCache/>
            </c:numRef>
          </c:val>
        </c:ser>
        <c:ser>
          <c:idx val="1"/>
          <c:order val="1"/>
          <c:tx>
            <c:v>Green water</c:v>
          </c:tx>
          <c:spPr>
            <a:solidFill>
              <a:srgbClr val="7EAB55"/>
            </a:solidFill>
            <a:ln cmpd="sng">
              <a:solidFill>
                <a:srgbClr val="000000"/>
              </a:solidFill>
            </a:ln>
          </c:spPr>
          <c:cat>
            <c:strRef>
              <c:f>Results!$J$57:$K$57</c:f>
            </c:strRef>
          </c:cat>
          <c:val>
            <c:numRef>
              <c:f>Results!$J$59:$K$59</c:f>
              <c:numCache/>
            </c:numRef>
          </c:val>
        </c:ser>
        <c:ser>
          <c:idx val="2"/>
          <c:order val="2"/>
          <c:tx>
            <c:v>Grey water</c:v>
          </c:tx>
          <c:spPr>
            <a:solidFill>
              <a:schemeClr val="accent3"/>
            </a:solidFill>
            <a:ln cmpd="sng">
              <a:solidFill>
                <a:srgbClr val="000000"/>
              </a:solidFill>
            </a:ln>
          </c:spPr>
          <c:cat>
            <c:strRef>
              <c:f>Results!$J$57:$K$57</c:f>
            </c:strRef>
          </c:cat>
          <c:val>
            <c:numRef>
              <c:f>Results!$J$60:$K$60</c:f>
              <c:numCache/>
            </c:numRef>
          </c:val>
        </c:ser>
        <c:overlap val="100"/>
        <c:axId val="1086864589"/>
        <c:axId val="950749340"/>
      </c:barChart>
      <c:catAx>
        <c:axId val="10868645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950749340"/>
      </c:catAx>
      <c:valAx>
        <c:axId val="950749340"/>
        <c:scaling>
          <c:orientation val="minMax"/>
        </c:scaling>
        <c:delete val="0"/>
        <c:axPos val="l"/>
        <c:title>
          <c:tx>
            <c:rich>
              <a:bodyPr/>
              <a:lstStyle/>
              <a:p>
                <a:pPr lvl="0">
                  <a:defRPr b="1" i="0" sz="800">
                    <a:solidFill>
                      <a:srgbClr val="000000"/>
                    </a:solidFill>
                    <a:latin typeface="+mn-lt"/>
                  </a:defRPr>
                </a:pPr>
                <a:r>
                  <a:rPr b="1" i="0" sz="800">
                    <a:solidFill>
                      <a:srgbClr val="000000"/>
                    </a:solidFill>
                    <a:latin typeface="+mn-lt"/>
                  </a:rPr>
                  <a:t>m3 / tonne ingredient
</a:t>
                </a:r>
              </a:p>
            </c:rich>
          </c:tx>
          <c:layout>
            <c:manualLayout>
              <c:xMode val="edge"/>
              <c:yMode val="edge"/>
              <c:x val="0.0023571870692741257"/>
              <c:y val="0.2402295668954999"/>
            </c:manualLayout>
          </c:layout>
          <c:overlay val="0"/>
        </c:title>
        <c:numFmt formatCode="#,##0.0" sourceLinked="0"/>
        <c:majorTickMark val="none"/>
        <c:minorTickMark val="none"/>
        <c:tickLblPos val="nextTo"/>
        <c:spPr>
          <a:ln/>
        </c:spPr>
        <c:txPr>
          <a:bodyPr/>
          <a:lstStyle/>
          <a:p>
            <a:pPr lvl="0">
              <a:defRPr b="0" i="0" sz="900">
                <a:solidFill>
                  <a:srgbClr val="000000"/>
                </a:solidFill>
                <a:latin typeface="+mn-lt"/>
              </a:defRPr>
            </a:pPr>
          </a:p>
        </c:txPr>
        <c:crossAx val="1086864589"/>
      </c:valAx>
    </c:plotArea>
    <c:legend>
      <c:legendPos val="r"/>
      <c:layout>
        <c:manualLayout>
          <c:xMode val="edge"/>
          <c:yMode val="edge"/>
          <c:x val="0.7752596664686369"/>
          <c:y val="0.03630279317084595"/>
        </c:manualLayout>
      </c:layout>
      <c:overlay val="0"/>
      <c:txPr>
        <a:bodyPr/>
        <a:lstStyle/>
        <a:p>
          <a:pPr lvl="0">
            <a:defRPr b="0" i="0" sz="9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Fish biomass dependency (FFDR) and efficiency (eFIFO)  </a:t>
            </a:r>
          </a:p>
        </c:rich>
      </c:tx>
      <c:layout>
        <c:manualLayout>
          <c:xMode val="edge"/>
          <c:yMode val="edge"/>
          <c:x val="0.17686242582221057"/>
          <c:y val="0.026595682703378906"/>
        </c:manualLayout>
      </c:layout>
      <c:overlay val="0"/>
    </c:title>
    <c:plotArea>
      <c:layout>
        <c:manualLayout>
          <c:xMode val="edge"/>
          <c:yMode val="edge"/>
          <c:x val="0.07348633256563342"/>
          <c:y val="0.06617229905641421"/>
          <c:w val="0.9032542446758741"/>
          <c:h val="0.8696789803273978"/>
        </c:manualLayout>
      </c:layout>
      <c:barChart>
        <c:barDir val="col"/>
        <c:ser>
          <c:idx val="0"/>
          <c:order val="0"/>
          <c:tx>
            <c:v>FFDR meal</c:v>
          </c:tx>
          <c:spPr>
            <a:solidFill>
              <a:srgbClr val="2F6EBA"/>
            </a:solidFill>
            <a:ln cmpd="sng">
              <a:solidFill>
                <a:srgbClr val="000000"/>
              </a:solidFill>
            </a:ln>
          </c:spPr>
          <c:cat>
            <c:strRef>
              <c:f>Results!$Y$25:$Z$25</c:f>
            </c:strRef>
          </c:cat>
          <c:val>
            <c:numRef>
              <c:f>Results!$Y$26:$Z$26</c:f>
              <c:numCache/>
            </c:numRef>
          </c:val>
        </c:ser>
        <c:ser>
          <c:idx val="1"/>
          <c:order val="1"/>
          <c:tx>
            <c:v>FFDR oil</c:v>
          </c:tx>
          <c:spPr>
            <a:solidFill>
              <a:schemeClr val="accent2"/>
            </a:solidFill>
            <a:ln cmpd="sng">
              <a:solidFill>
                <a:srgbClr val="000000"/>
              </a:solidFill>
            </a:ln>
          </c:spPr>
          <c:cat>
            <c:strRef>
              <c:f>Results!$Y$25:$Z$25</c:f>
            </c:strRef>
          </c:cat>
          <c:val>
            <c:numRef>
              <c:f>Results!$Y$27:$Z$27</c:f>
              <c:numCache/>
            </c:numRef>
          </c:val>
        </c:ser>
        <c:ser>
          <c:idx val="2"/>
          <c:order val="2"/>
          <c:tx>
            <c:v>eFIFO</c:v>
          </c:tx>
          <c:spPr>
            <a:solidFill>
              <a:srgbClr val="7EAB55"/>
            </a:solidFill>
            <a:ln cmpd="sng">
              <a:solidFill>
                <a:srgbClr val="000000"/>
              </a:solidFill>
            </a:ln>
          </c:spPr>
          <c:cat>
            <c:strRef>
              <c:f>Results!$Y$25:$Z$25</c:f>
            </c:strRef>
          </c:cat>
          <c:val>
            <c:numRef>
              <c:f>Results!$Y$28:$Z$28</c:f>
              <c:numCache/>
            </c:numRef>
          </c:val>
        </c:ser>
        <c:axId val="499319675"/>
        <c:axId val="417732573"/>
      </c:barChart>
      <c:catAx>
        <c:axId val="4993196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417732573"/>
      </c:catAx>
      <c:valAx>
        <c:axId val="417732573"/>
        <c:scaling>
          <c:orientation val="minMax"/>
        </c:scaling>
        <c:delete val="0"/>
        <c:axPos val="l"/>
        <c:title>
          <c:tx>
            <c:rich>
              <a:bodyPr/>
              <a:lstStyle/>
              <a:p>
                <a:pPr lvl="0">
                  <a:defRPr b="1" i="0" sz="800">
                    <a:solidFill>
                      <a:srgbClr val="000000"/>
                    </a:solidFill>
                    <a:latin typeface="+mn-lt"/>
                  </a:defRPr>
                </a:pPr>
                <a:r>
                  <a:rPr b="1" i="0" sz="800">
                    <a:solidFill>
                      <a:srgbClr val="000000"/>
                    </a:solidFill>
                    <a:latin typeface="+mn-lt"/>
                  </a:rPr>
                  <a:t>Ratio / tonne striped bass at farmgate
</a:t>
                </a:r>
              </a:p>
            </c:rich>
          </c:tx>
          <c:layout>
            <c:manualLayout>
              <c:xMode val="edge"/>
              <c:yMode val="edge"/>
              <c:x val="1.4829635346640677E-4"/>
              <c:y val="0.27905836820385627"/>
            </c:manualLayout>
          </c:layout>
          <c:overlay val="0"/>
        </c:title>
        <c:numFmt formatCode="#,##0.0" sourceLinked="0"/>
        <c:majorTickMark val="none"/>
        <c:minorTickMark val="none"/>
        <c:tickLblPos val="nextTo"/>
        <c:spPr>
          <a:ln/>
        </c:spPr>
        <c:txPr>
          <a:bodyPr/>
          <a:lstStyle/>
          <a:p>
            <a:pPr lvl="0">
              <a:defRPr b="0" i="0" sz="900">
                <a:solidFill>
                  <a:srgbClr val="000000"/>
                </a:solidFill>
                <a:latin typeface="+mn-lt"/>
              </a:defRPr>
            </a:pPr>
          </a:p>
        </c:txPr>
        <c:crossAx val="499319675"/>
      </c:valAx>
    </c:plotArea>
    <c:legend>
      <c:legendPos val="r"/>
      <c:layout>
        <c:manualLayout>
          <c:xMode val="edge"/>
          <c:yMode val="edge"/>
          <c:x val="0.8676500730146881"/>
          <c:y val="0.047858196784103295"/>
        </c:manualLayout>
      </c:layout>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704850</xdr:colOff>
      <xdr:row>29</xdr:row>
      <xdr:rowOff>0</xdr:rowOff>
    </xdr:from>
    <xdr:ext cx="5600700" cy="3686175"/>
    <xdr:graphicFrame>
      <xdr:nvGraphicFramePr>
        <xdr:cNvPr id="12405903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9525</xdr:colOff>
      <xdr:row>28</xdr:row>
      <xdr:rowOff>152400</xdr:rowOff>
    </xdr:from>
    <xdr:ext cx="5657850" cy="3686175"/>
    <xdr:graphicFrame>
      <xdr:nvGraphicFramePr>
        <xdr:cNvPr id="120181231"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0</xdr:colOff>
      <xdr:row>29</xdr:row>
      <xdr:rowOff>0</xdr:rowOff>
    </xdr:from>
    <xdr:ext cx="5629275" cy="3676650"/>
    <xdr:graphicFrame>
      <xdr:nvGraphicFramePr>
        <xdr:cNvPr id="877881910"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323850</xdr:colOff>
      <xdr:row>60</xdr:row>
      <xdr:rowOff>171450</xdr:rowOff>
    </xdr:from>
    <xdr:ext cx="6000750" cy="3686175"/>
    <xdr:graphicFrame>
      <xdr:nvGraphicFramePr>
        <xdr:cNvPr id="1519503678"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1847850</xdr:colOff>
      <xdr:row>61</xdr:row>
      <xdr:rowOff>9525</xdr:rowOff>
    </xdr:from>
    <xdr:ext cx="5572125" cy="3667125"/>
    <xdr:graphicFrame>
      <xdr:nvGraphicFramePr>
        <xdr:cNvPr id="316677727"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0</xdr:colOff>
      <xdr:row>61</xdr:row>
      <xdr:rowOff>9525</xdr:rowOff>
    </xdr:from>
    <xdr:ext cx="5638800" cy="3667125"/>
    <xdr:graphicFrame>
      <xdr:nvGraphicFramePr>
        <xdr:cNvPr id="1796145609"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23</xdr:col>
      <xdr:colOff>0</xdr:colOff>
      <xdr:row>29</xdr:row>
      <xdr:rowOff>76200</xdr:rowOff>
    </xdr:from>
    <xdr:ext cx="5905500" cy="3686175"/>
    <xdr:graphicFrame>
      <xdr:nvGraphicFramePr>
        <xdr:cNvPr id="403034595" name="Chart 7"/>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letstalk_bluefoodperformance_com/Documents/Blue%20Food%20Performance/1%20Sales/1%20Active%20Clients/1TEMPLATE/BFP%20Dashboard%20Backend%20-%20CLIENT%20X%20-%2018-10-202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B - General Info"/>
      <sheetName val="DB - Performance Overview"/>
      <sheetName val="DB - Carbon and Energy Use"/>
      <sheetName val="DB - Spatial Footprint"/>
      <sheetName val="DB - Water Related Env Impacts"/>
      <sheetName val="DB - Other Env Impacts"/>
      <sheetName val="DB - Product Benchmark"/>
      <sheetName val="DB - Operational Hotspots"/>
      <sheetName val="DB - Feed (formulation 1)"/>
      <sheetName val="DB - Unlock Smart Ingr. Choices"/>
      <sheetName val="DB - Economic"/>
      <sheetName val="DB - Social &amp; Governance"/>
      <sheetName val="DB - Fish Welfare"/>
      <sheetName val="Tool (non-fed)"/>
      <sheetName val="FCR-tool"/>
      <sheetName val="FRC-backend data"/>
      <sheetName val="SI - Operational Hotspot"/>
      <sheetName val="SI - Scope emissions"/>
      <sheetName val="SI - Feed form aggregation"/>
      <sheetName val="SI - LCA (tonne ingredient)"/>
      <sheetName val="SI -LCA feed (spati+op hotspot)"/>
      <sheetName val="SI - Product benchma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28.29"/>
    <col customWidth="1" min="3" max="3" width="27.43"/>
    <col customWidth="1" min="4" max="4" width="36.0"/>
    <col customWidth="1" min="5" max="5" width="36.43"/>
    <col customWidth="1" min="6" max="6" width="15.43"/>
    <col customWidth="1" min="7" max="7" width="16.71"/>
    <col customWidth="1" min="8" max="8" width="27.29"/>
    <col customWidth="1" min="9" max="9" width="21.43"/>
    <col customWidth="1" min="10" max="10" width="36.14"/>
    <col customWidth="1" min="11" max="11" width="35.29"/>
    <col customWidth="1" min="12" max="12" width="8.71"/>
    <col customWidth="1" min="13" max="13" width="22.29"/>
    <col customWidth="1" min="14" max="14" width="27.71"/>
    <col customWidth="1" min="15" max="15" width="22.86"/>
    <col customWidth="1" min="16" max="16" width="29.86"/>
    <col customWidth="1" min="17" max="17" width="42.29"/>
    <col customWidth="1" min="18" max="18" width="31.43"/>
    <col customWidth="1" min="19" max="19" width="33.86"/>
    <col customWidth="1" min="20" max="20" width="12.57"/>
    <col customWidth="1" min="21" max="21" width="12.43"/>
    <col customWidth="1" min="22" max="23" width="8.71"/>
    <col customWidth="1" min="24" max="24" width="51.71"/>
    <col customWidth="1" min="25" max="34" width="8.71"/>
  </cols>
  <sheetData>
    <row r="1" ht="14.25" customHeight="1">
      <c r="A1" s="1" t="s">
        <v>0</v>
      </c>
      <c r="B1" s="2" t="s">
        <v>1</v>
      </c>
      <c r="C1" s="3" t="s">
        <v>2</v>
      </c>
      <c r="D1" s="4" t="s">
        <v>3</v>
      </c>
      <c r="E1" s="3" t="s">
        <v>2</v>
      </c>
      <c r="F1" s="5" t="s">
        <v>4</v>
      </c>
      <c r="G1" s="6"/>
      <c r="H1" s="6"/>
      <c r="I1" s="6"/>
      <c r="J1" s="6"/>
      <c r="K1" s="6"/>
      <c r="L1" s="6"/>
      <c r="M1" s="6"/>
      <c r="N1" s="6"/>
      <c r="O1" s="6"/>
      <c r="P1" s="6"/>
      <c r="Q1" s="6"/>
      <c r="R1" s="6"/>
      <c r="S1" s="6"/>
      <c r="T1" s="6"/>
      <c r="U1" s="6"/>
      <c r="V1" s="6"/>
      <c r="W1" s="6"/>
      <c r="X1" s="6"/>
      <c r="Y1" s="6"/>
      <c r="Z1" s="6"/>
      <c r="AA1" s="6"/>
      <c r="AB1" s="6"/>
      <c r="AC1" s="6"/>
      <c r="AD1" s="6"/>
      <c r="AE1" s="6"/>
      <c r="AF1" s="6"/>
      <c r="AG1" s="6"/>
      <c r="AH1" s="6"/>
    </row>
    <row r="2" ht="14.25" customHeight="1">
      <c r="A2" s="7" t="s">
        <v>5</v>
      </c>
      <c r="B2" s="8">
        <v>1.2</v>
      </c>
      <c r="C2" s="9">
        <f t="shared" ref="C2:C15" si="1">(B2/100)*F2</f>
        <v>1.668</v>
      </c>
      <c r="D2" s="10">
        <f>B2</f>
        <v>1.2</v>
      </c>
      <c r="E2" s="9">
        <f t="shared" ref="E2:E15" si="2">(D2/100)*F2</f>
        <v>1.668</v>
      </c>
      <c r="F2" s="7">
        <v>139.0</v>
      </c>
    </row>
    <row r="3" ht="14.25" customHeight="1">
      <c r="A3" s="11" t="s">
        <v>6</v>
      </c>
      <c r="B3" s="12">
        <v>6.5</v>
      </c>
      <c r="C3" s="13">
        <f t="shared" si="1"/>
        <v>39.65</v>
      </c>
      <c r="D3" s="14">
        <f>100-88.91</f>
        <v>11.09</v>
      </c>
      <c r="E3" s="13">
        <f t="shared" si="2"/>
        <v>67.649</v>
      </c>
      <c r="F3" s="11">
        <v>610.0</v>
      </c>
      <c r="G3" s="15" t="s">
        <v>7</v>
      </c>
      <c r="H3" s="16">
        <f>((D3-B3)/B3)*100</f>
        <v>70.61538462</v>
      </c>
      <c r="I3" s="15" t="s">
        <v>8</v>
      </c>
    </row>
    <row r="4" ht="14.25" customHeight="1">
      <c r="A4" s="11" t="s">
        <v>9</v>
      </c>
      <c r="B4" s="12">
        <v>18.0</v>
      </c>
      <c r="C4" s="13">
        <f t="shared" si="1"/>
        <v>59.22</v>
      </c>
      <c r="D4" s="17">
        <f t="shared" ref="D4:D5" si="3">B4</f>
        <v>18</v>
      </c>
      <c r="E4" s="13">
        <f t="shared" si="2"/>
        <v>59.22</v>
      </c>
      <c r="F4" s="11">
        <v>329.0</v>
      </c>
    </row>
    <row r="5" ht="14.25" customHeight="1">
      <c r="A5" s="11" t="s">
        <v>10</v>
      </c>
      <c r="B5" s="12">
        <v>12.0</v>
      </c>
      <c r="C5" s="13">
        <f t="shared" si="1"/>
        <v>126</v>
      </c>
      <c r="D5" s="17">
        <f t="shared" si="3"/>
        <v>12</v>
      </c>
      <c r="E5" s="13">
        <f t="shared" si="2"/>
        <v>126</v>
      </c>
      <c r="F5" s="11">
        <v>1050.0</v>
      </c>
    </row>
    <row r="6" ht="14.25" customHeight="1">
      <c r="A6" s="11" t="s">
        <v>11</v>
      </c>
      <c r="B6" s="12">
        <v>20.0</v>
      </c>
      <c r="C6" s="13">
        <f t="shared" si="1"/>
        <v>130</v>
      </c>
      <c r="D6" s="18">
        <f>B6*0.8</f>
        <v>16</v>
      </c>
      <c r="E6" s="13">
        <f t="shared" si="2"/>
        <v>104</v>
      </c>
      <c r="F6" s="11">
        <v>650.0</v>
      </c>
      <c r="G6" s="15" t="s">
        <v>12</v>
      </c>
      <c r="H6" s="15" t="s">
        <v>13</v>
      </c>
    </row>
    <row r="7" ht="14.25" customHeight="1">
      <c r="A7" s="11" t="s">
        <v>14</v>
      </c>
      <c r="B7" s="12">
        <v>4.0</v>
      </c>
      <c r="C7" s="13">
        <f t="shared" si="1"/>
        <v>86</v>
      </c>
      <c r="D7" s="17">
        <f t="shared" ref="D7:D11" si="4">B7</f>
        <v>4</v>
      </c>
      <c r="E7" s="13">
        <f t="shared" si="2"/>
        <v>86</v>
      </c>
      <c r="F7" s="11">
        <v>2150.0</v>
      </c>
    </row>
    <row r="8" ht="14.25" customHeight="1">
      <c r="A8" s="11" t="s">
        <v>15</v>
      </c>
      <c r="B8" s="12">
        <v>8.0</v>
      </c>
      <c r="C8" s="13">
        <f t="shared" si="1"/>
        <v>41.12</v>
      </c>
      <c r="D8" s="17">
        <f t="shared" si="4"/>
        <v>8</v>
      </c>
      <c r="E8" s="13">
        <f t="shared" si="2"/>
        <v>41.12</v>
      </c>
      <c r="F8" s="11">
        <v>514.0</v>
      </c>
    </row>
    <row r="9" ht="14.25" customHeight="1">
      <c r="A9" s="11" t="s">
        <v>16</v>
      </c>
      <c r="B9" s="12">
        <v>0.9</v>
      </c>
      <c r="C9" s="13">
        <f t="shared" si="1"/>
        <v>9.909</v>
      </c>
      <c r="D9" s="17">
        <f t="shared" si="4"/>
        <v>0.9</v>
      </c>
      <c r="E9" s="13">
        <f t="shared" si="2"/>
        <v>9.909</v>
      </c>
      <c r="F9" s="11">
        <v>1101.0</v>
      </c>
      <c r="G9" s="19"/>
    </row>
    <row r="10" ht="14.25" customHeight="1">
      <c r="A10" s="20" t="s">
        <v>17</v>
      </c>
      <c r="B10" s="21">
        <f>7.1*(2/3)</f>
        <v>4.733333333</v>
      </c>
      <c r="C10" s="22">
        <f t="shared" si="1"/>
        <v>26.03333333</v>
      </c>
      <c r="D10" s="23">
        <f t="shared" si="4"/>
        <v>4.733333333</v>
      </c>
      <c r="E10" s="22">
        <f t="shared" si="2"/>
        <v>26.03333333</v>
      </c>
      <c r="F10" s="20">
        <v>550.0</v>
      </c>
    </row>
    <row r="11" ht="14.25" customHeight="1">
      <c r="A11" s="20" t="s">
        <v>18</v>
      </c>
      <c r="B11" s="21">
        <f>7.1*(1/3)</f>
        <v>2.366666667</v>
      </c>
      <c r="C11" s="22">
        <f t="shared" si="1"/>
        <v>13.01666667</v>
      </c>
      <c r="D11" s="23">
        <f t="shared" si="4"/>
        <v>2.366666667</v>
      </c>
      <c r="E11" s="22">
        <f t="shared" si="2"/>
        <v>13.01666667</v>
      </c>
      <c r="F11" s="20">
        <v>550.0</v>
      </c>
    </row>
    <row r="12" ht="14.25" customHeight="1">
      <c r="A12" s="24" t="s">
        <v>19</v>
      </c>
      <c r="B12" s="25">
        <f>6.9*(2/3)</f>
        <v>4.6</v>
      </c>
      <c r="C12" s="26">
        <f t="shared" si="1"/>
        <v>105.8</v>
      </c>
      <c r="D12" s="18">
        <f t="shared" ref="D12:D13" si="5">B12*0.9</f>
        <v>4.14</v>
      </c>
      <c r="E12" s="26">
        <f t="shared" si="2"/>
        <v>95.22</v>
      </c>
      <c r="F12" s="24">
        <v>2300.0</v>
      </c>
      <c r="G12" s="15" t="s">
        <v>12</v>
      </c>
      <c r="H12" s="27" t="s">
        <v>20</v>
      </c>
    </row>
    <row r="13" ht="14.25" customHeight="1">
      <c r="A13" s="24" t="s">
        <v>21</v>
      </c>
      <c r="B13" s="25">
        <f>6.9*(1/3)</f>
        <v>2.3</v>
      </c>
      <c r="C13" s="26">
        <f t="shared" si="1"/>
        <v>52.9</v>
      </c>
      <c r="D13" s="18">
        <f t="shared" si="5"/>
        <v>2.07</v>
      </c>
      <c r="E13" s="26">
        <f t="shared" si="2"/>
        <v>47.61</v>
      </c>
      <c r="F13" s="24">
        <v>2300.0</v>
      </c>
      <c r="G13" s="15" t="str">
        <f>G12</f>
        <v>&gt;&gt;&gt;&gt;&gt;</v>
      </c>
    </row>
    <row r="14" ht="14.25" customHeight="1">
      <c r="A14" s="11" t="s">
        <v>22</v>
      </c>
      <c r="B14" s="12">
        <v>15.0</v>
      </c>
      <c r="C14" s="13">
        <f t="shared" si="1"/>
        <v>111.45</v>
      </c>
      <c r="D14" s="17">
        <f t="shared" ref="D14:D15" si="6">B14</f>
        <v>15</v>
      </c>
      <c r="E14" s="13">
        <f t="shared" si="2"/>
        <v>111.45</v>
      </c>
      <c r="F14" s="11">
        <v>743.0</v>
      </c>
    </row>
    <row r="15" ht="14.25" customHeight="1">
      <c r="A15" s="28" t="s">
        <v>23</v>
      </c>
      <c r="B15" s="29">
        <v>0.5</v>
      </c>
      <c r="C15" s="30">
        <f t="shared" si="1"/>
        <v>20.95</v>
      </c>
      <c r="D15" s="31">
        <f t="shared" si="6"/>
        <v>0.5</v>
      </c>
      <c r="E15" s="30">
        <f t="shared" si="2"/>
        <v>20.95</v>
      </c>
      <c r="F15" s="28">
        <v>4190.0</v>
      </c>
    </row>
    <row r="16" ht="14.25" customHeight="1">
      <c r="A16" s="32" t="s">
        <v>24</v>
      </c>
      <c r="B16" s="33">
        <f>SUM(B2:B15)</f>
        <v>100.1</v>
      </c>
      <c r="C16" s="34"/>
      <c r="D16" s="35">
        <f>SUM(D2:D15)</f>
        <v>100</v>
      </c>
      <c r="E16" s="36"/>
      <c r="F16" s="37"/>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ht="14.25" customHeight="1">
      <c r="A17" s="38" t="s">
        <v>25</v>
      </c>
      <c r="B17" s="39">
        <f>SUM(B10:B13)</f>
        <v>14</v>
      </c>
      <c r="C17" s="40"/>
      <c r="D17" s="39">
        <f>SUM(D10:D13)</f>
        <v>13.31</v>
      </c>
      <c r="E17" s="41"/>
      <c r="F17" s="42"/>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ht="14.25" customHeight="1">
      <c r="A18" s="38" t="s">
        <v>26</v>
      </c>
      <c r="B18" s="43"/>
      <c r="C18" s="44">
        <f>SUM(C2:C15)</f>
        <v>823.717</v>
      </c>
      <c r="D18" s="45"/>
      <c r="E18" s="46">
        <f>SUM(E2:E15)</f>
        <v>809.846</v>
      </c>
      <c r="F18" s="47"/>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ht="14.25" customHeight="1">
      <c r="A19" s="32" t="s">
        <v>27</v>
      </c>
      <c r="B19" s="48">
        <v>1.5</v>
      </c>
      <c r="C19" s="49">
        <v>1.0</v>
      </c>
      <c r="D19" s="50">
        <v>1.5</v>
      </c>
      <c r="E19" s="51"/>
      <c r="F19" s="52"/>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ht="14.25" customHeight="1">
      <c r="A20" s="15" t="s">
        <v>28</v>
      </c>
    </row>
    <row r="21" ht="14.25" customHeight="1"/>
    <row r="22" ht="14.25" customHeight="1">
      <c r="A22" s="6" t="s">
        <v>29</v>
      </c>
    </row>
    <row r="23" ht="14.25" customHeight="1">
      <c r="A23" s="6"/>
    </row>
    <row r="24" ht="14.25" customHeight="1">
      <c r="A24" s="53" t="s">
        <v>30</v>
      </c>
      <c r="H24" s="6"/>
      <c r="O24" s="6"/>
      <c r="X24" s="6"/>
      <c r="Y24" s="6"/>
      <c r="Z24" s="6"/>
      <c r="AA24" s="6"/>
      <c r="AB24" s="6"/>
    </row>
    <row r="25" ht="14.25" customHeight="1">
      <c r="A25" s="50" t="s">
        <v>31</v>
      </c>
      <c r="B25" s="54" t="s">
        <v>32</v>
      </c>
      <c r="C25" s="54" t="s">
        <v>33</v>
      </c>
      <c r="D25" s="54" t="s">
        <v>34</v>
      </c>
      <c r="E25" s="55" t="s">
        <v>35</v>
      </c>
      <c r="F25" s="6"/>
      <c r="G25" s="6"/>
      <c r="H25" s="56"/>
      <c r="I25" s="57" t="s">
        <v>32</v>
      </c>
      <c r="J25" s="54" t="s">
        <v>33</v>
      </c>
      <c r="K25" s="50" t="s">
        <v>34</v>
      </c>
      <c r="L25" s="55" t="s">
        <v>35</v>
      </c>
      <c r="M25" s="6"/>
      <c r="N25" s="6"/>
      <c r="O25" s="32" t="s">
        <v>36</v>
      </c>
      <c r="P25" s="54" t="s">
        <v>32</v>
      </c>
      <c r="Q25" s="54" t="s">
        <v>33</v>
      </c>
      <c r="R25" s="50" t="s">
        <v>34</v>
      </c>
      <c r="S25" s="55" t="s">
        <v>35</v>
      </c>
      <c r="T25" s="6"/>
      <c r="U25" s="6"/>
      <c r="V25" s="6"/>
      <c r="W25" s="6"/>
      <c r="X25" s="32" t="s">
        <v>37</v>
      </c>
      <c r="Y25" s="50" t="s">
        <v>38</v>
      </c>
      <c r="Z25" s="55" t="s">
        <v>39</v>
      </c>
      <c r="AA25" s="6"/>
      <c r="AB25" s="6"/>
      <c r="AC25" s="6"/>
      <c r="AD25" s="6"/>
      <c r="AE25" s="6"/>
      <c r="AF25" s="6"/>
      <c r="AG25" s="6"/>
      <c r="AH25" s="6"/>
    </row>
    <row r="26" ht="14.25" customHeight="1">
      <c r="A26" s="58" t="str">
        <f>'FF1 (energy scenarios)'!B5</f>
        <v>Climate change - Biogenic</v>
      </c>
      <c r="B26" s="59">
        <f>'FF1 (energy scenarios)'!D5</f>
        <v>0.71452823</v>
      </c>
      <c r="C26" s="59">
        <f>'FF1 (energy scenarios)'!E5</f>
        <v>0.69095912</v>
      </c>
      <c r="D26" s="59">
        <f>'FF2 (energy scenarios)'!D5</f>
        <v>0.72721985</v>
      </c>
      <c r="E26" s="60">
        <f>'FF2 (energy scenarios)'!E5</f>
        <v>0.68697105</v>
      </c>
      <c r="F26" s="61"/>
      <c r="H26" s="32" t="s">
        <v>40</v>
      </c>
      <c r="I26" s="62">
        <f>'FF1 (energy scenarios)'!D29</f>
        <v>2882.7883</v>
      </c>
      <c r="J26" s="63">
        <f>'FF1 (energy scenarios)'!E29</f>
        <v>2879.6125</v>
      </c>
      <c r="K26" s="62">
        <f>'FF2 (energy scenarios)'!D29</f>
        <v>2718.4166</v>
      </c>
      <c r="L26" s="63">
        <f>'FF2 (energy scenarios)'!E29</f>
        <v>2712.9933</v>
      </c>
      <c r="M26" s="61"/>
      <c r="O26" s="58" t="str">
        <f>'FF1 (energy scenarios)'!B35</f>
        <v>Blue water</v>
      </c>
      <c r="P26" s="59">
        <f>'FF1 (energy scenarios)'!D35</f>
        <v>24.812588</v>
      </c>
      <c r="Q26" s="64">
        <f>'FF1 (energy scenarios)'!E35</f>
        <v>24.420159</v>
      </c>
      <c r="R26" s="65">
        <f>'FF2 (energy scenarios)'!D35</f>
        <v>24.9509</v>
      </c>
      <c r="S26" s="60">
        <f>'FF2 (energy scenarios)'!E35</f>
        <v>24.280753</v>
      </c>
      <c r="T26" s="61"/>
      <c r="U26" s="61"/>
      <c r="V26" s="61"/>
      <c r="X26" s="66" t="s">
        <v>41</v>
      </c>
      <c r="Y26" s="65">
        <v>0.33</v>
      </c>
      <c r="Z26" s="60">
        <v>0.29</v>
      </c>
    </row>
    <row r="27" ht="14.25" customHeight="1">
      <c r="A27" s="67" t="str">
        <f>'FF1 (energy scenarios)'!B6</f>
        <v>Climate change - Fossil</v>
      </c>
      <c r="B27" s="68">
        <f>'FF1 (energy scenarios)'!D6</f>
        <v>1541.0359</v>
      </c>
      <c r="C27" s="68">
        <f>'FF1 (energy scenarios)'!E6</f>
        <v>1317.7824</v>
      </c>
      <c r="D27" s="68">
        <f>'FF2 (energy scenarios)'!D6</f>
        <v>1669.0303</v>
      </c>
      <c r="E27" s="69">
        <f>'FF2 (energy scenarios)'!E6</f>
        <v>1287.7819</v>
      </c>
      <c r="F27" s="61"/>
      <c r="O27" s="67" t="str">
        <f>'FF1 (energy scenarios)'!B36</f>
        <v>Green water</v>
      </c>
      <c r="P27" s="68">
        <f>'FF1 (energy scenarios)'!D36</f>
        <v>748.62566</v>
      </c>
      <c r="Q27" s="70">
        <f>'FF1 (energy scenarios)'!E36</f>
        <v>748.62566</v>
      </c>
      <c r="R27" s="71">
        <f>'FF2 (energy scenarios)'!D36</f>
        <v>645.33251</v>
      </c>
      <c r="S27" s="69">
        <f>'FF2 (energy scenarios)'!E36</f>
        <v>645.33251</v>
      </c>
      <c r="T27" s="61"/>
      <c r="U27" s="61"/>
      <c r="V27" s="61"/>
      <c r="X27" s="66" t="s">
        <v>42</v>
      </c>
      <c r="Y27" s="72">
        <v>0.88</v>
      </c>
      <c r="Z27" s="73">
        <v>0.88</v>
      </c>
    </row>
    <row r="28" ht="14.25" customHeight="1">
      <c r="A28" s="74" t="str">
        <f>'FF1 (energy scenarios)'!B7</f>
        <v>Climate change - Land use and LU change</v>
      </c>
      <c r="B28" s="75">
        <f>'FF1 (energy scenarios)'!D7</f>
        <v>1150.599</v>
      </c>
      <c r="C28" s="75">
        <f>'FF1 (energy scenarios)'!E7</f>
        <v>1150.5841</v>
      </c>
      <c r="D28" s="75">
        <f>'FF2 (energy scenarios)'!D7</f>
        <v>931.64011</v>
      </c>
      <c r="E28" s="76">
        <f>'FF2 (energy scenarios)'!E7</f>
        <v>931.61462</v>
      </c>
      <c r="F28" s="61"/>
      <c r="O28" s="74" t="str">
        <f>'FF1 (energy scenarios)'!B37</f>
        <v>Grey water</v>
      </c>
      <c r="P28" s="75">
        <f>'FF1 (energy scenarios)'!D37</f>
        <v>136.4891026</v>
      </c>
      <c r="Q28" s="77">
        <f>'FF1 (energy scenarios)'!E37</f>
        <v>136.4198504</v>
      </c>
      <c r="R28" s="78">
        <f>'FF2 (energy scenarios)'!D37</f>
        <v>118.2853076</v>
      </c>
      <c r="S28" s="76">
        <f>'FF2 (energy scenarios)'!E37</f>
        <v>118.1670464</v>
      </c>
      <c r="T28" s="61"/>
      <c r="U28" s="61"/>
      <c r="V28" s="61"/>
      <c r="X28" s="79" t="s">
        <v>43</v>
      </c>
      <c r="Y28" s="78">
        <v>0.61</v>
      </c>
      <c r="Z28" s="76">
        <v>0.59</v>
      </c>
    </row>
    <row r="29" ht="14.25" customHeight="1">
      <c r="S29" s="61"/>
      <c r="X29" s="61" t="s">
        <v>44</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c r="B52" s="80"/>
      <c r="C52" s="80"/>
      <c r="D52" s="80"/>
      <c r="E52" s="80"/>
      <c r="P52" s="80"/>
      <c r="Q52" s="80"/>
      <c r="R52" s="80"/>
      <c r="S52" s="80"/>
    </row>
    <row r="53" ht="14.25" customHeight="1"/>
    <row r="54" ht="14.25" customHeight="1"/>
    <row r="55" ht="14.25" customHeight="1">
      <c r="A55" s="6"/>
    </row>
    <row r="56" ht="14.25" customHeight="1"/>
    <row r="57" ht="14.25" customHeight="1">
      <c r="A57" s="50" t="s">
        <v>31</v>
      </c>
      <c r="B57" s="54" t="s">
        <v>45</v>
      </c>
      <c r="C57" s="54" t="s">
        <v>46</v>
      </c>
      <c r="D57" s="6"/>
      <c r="E57" s="56"/>
      <c r="F57" s="50" t="s">
        <v>45</v>
      </c>
      <c r="G57" s="55" t="s">
        <v>46</v>
      </c>
      <c r="H57" s="6"/>
      <c r="I57" s="32" t="s">
        <v>36</v>
      </c>
      <c r="J57" s="54" t="s">
        <v>45</v>
      </c>
      <c r="K57" s="55" t="s">
        <v>46</v>
      </c>
      <c r="N57" s="6"/>
    </row>
    <row r="58" ht="14.25" customHeight="1">
      <c r="A58" s="58" t="str">
        <f>'SeaCrop ingr (energy scenarios)'!B5</f>
        <v>Climate change - Biogenic</v>
      </c>
      <c r="B58" s="59">
        <f>'SeaCrop ingr (energy scenarios)'!D5</f>
        <v>0.2651309</v>
      </c>
      <c r="C58" s="59">
        <f>'SeaCrop ingr (energy scenarios)'!E5</f>
        <v>0.023396384</v>
      </c>
      <c r="E58" s="81" t="s">
        <v>40</v>
      </c>
      <c r="F58" s="62">
        <f>'SeaCrop ingr (energy scenarios)'!D29</f>
        <v>33.383056</v>
      </c>
      <c r="G58" s="63">
        <f>'SeaCrop ingr (energy scenarios)'!E29</f>
        <v>0.8107891</v>
      </c>
      <c r="I58" s="58" t="str">
        <f>'SeaCrop ingr (energy scenarios)'!B35</f>
        <v>Blue water</v>
      </c>
      <c r="J58" s="59">
        <f>'SeaCrop ingr (energy scenarios)'!D35</f>
        <v>4.6707199</v>
      </c>
      <c r="K58" s="60">
        <f>'SeaCrop ingr (energy scenarios)'!E35</f>
        <v>0.64581103</v>
      </c>
    </row>
    <row r="59" ht="14.25" customHeight="1">
      <c r="A59" s="67" t="str">
        <f>'SeaCrop ingr (energy scenarios)'!B6</f>
        <v>Climate change - Fossil</v>
      </c>
      <c r="B59" s="68">
        <f>'SeaCrop ingr (energy scenarios)'!D6</f>
        <v>2615.3519</v>
      </c>
      <c r="C59" s="68">
        <f>'SeaCrop ingr (energy scenarios)'!E6</f>
        <v>325.57222</v>
      </c>
      <c r="I59" s="67" t="str">
        <f>'SeaCrop ingr (energy scenarios)'!B36</f>
        <v>Green water</v>
      </c>
      <c r="J59" s="68">
        <f>'SeaCrop ingr (energy scenarios)'!D36</f>
        <v>0</v>
      </c>
      <c r="K59" s="69">
        <f>'SeaCrop ingr (energy scenarios)'!E36</f>
        <v>0</v>
      </c>
    </row>
    <row r="60" ht="14.25" customHeight="1">
      <c r="A60" s="74" t="str">
        <f>'SeaCrop ingr (energy scenarios)'!B7</f>
        <v>Climate change - Land use and LU change</v>
      </c>
      <c r="B60" s="75">
        <f>'SeaCrop ingr (energy scenarios)'!D7</f>
        <v>0.16754577</v>
      </c>
      <c r="C60" s="75">
        <f>'SeaCrop ingr (energy scenarios)'!E7</f>
        <v>0.014430156</v>
      </c>
      <c r="I60" s="74" t="str">
        <f>'SeaCrop ingr (energy scenarios)'!B37</f>
        <v>Grey water</v>
      </c>
      <c r="J60" s="75">
        <f>'SeaCrop ingr (energy scenarios)'!D37</f>
        <v>0.8242446882</v>
      </c>
      <c r="K60" s="76">
        <f>'SeaCrop ingr (energy scenarios)'!E37</f>
        <v>0.1139666524</v>
      </c>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H12:AH13"/>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2" width="54.43"/>
    <col customWidth="1" min="3" max="3" width="31.86"/>
    <col customWidth="1" min="4" max="5" width="48.86"/>
    <col customWidth="1" min="6" max="7" width="29.71"/>
    <col customWidth="1" min="8" max="27" width="8.71"/>
  </cols>
  <sheetData>
    <row r="1" ht="14.25" customHeight="1">
      <c r="A1" s="82" t="e">
        <v>#VALUE!</v>
      </c>
      <c r="B1" s="83" t="s">
        <v>47</v>
      </c>
      <c r="C1" s="84" t="s">
        <v>48</v>
      </c>
      <c r="D1" s="85"/>
      <c r="E1" s="86"/>
      <c r="F1" s="86"/>
      <c r="G1" s="87"/>
    </row>
    <row r="2" ht="14.25" customHeight="1">
      <c r="A2" s="88"/>
      <c r="B2" s="89"/>
      <c r="C2" s="90"/>
      <c r="D2" s="91" t="s">
        <v>45</v>
      </c>
      <c r="E2" s="92" t="s">
        <v>46</v>
      </c>
      <c r="F2" s="93" t="s">
        <v>49</v>
      </c>
      <c r="G2" s="94" t="s">
        <v>50</v>
      </c>
    </row>
    <row r="3" ht="18.0" customHeight="1">
      <c r="A3" s="95" t="s">
        <v>51</v>
      </c>
      <c r="B3" s="96" t="s">
        <v>52</v>
      </c>
      <c r="C3" s="97" t="s">
        <v>53</v>
      </c>
      <c r="D3" s="98">
        <v>19.168426</v>
      </c>
      <c r="E3" s="99">
        <v>0.53024773</v>
      </c>
      <c r="F3" s="99">
        <v>-18.63817827</v>
      </c>
      <c r="G3" s="100">
        <v>-97.23374402259216</v>
      </c>
    </row>
    <row r="4" ht="21.75" customHeight="1">
      <c r="A4" s="101"/>
      <c r="B4" s="102" t="s">
        <v>54</v>
      </c>
      <c r="C4" s="103" t="s">
        <v>55</v>
      </c>
      <c r="D4" s="104">
        <v>2615.7846</v>
      </c>
      <c r="E4" s="105">
        <v>325.61004</v>
      </c>
      <c r="F4" s="105">
        <v>-2290.17456</v>
      </c>
      <c r="G4" s="106">
        <v>-87.55210807495388</v>
      </c>
    </row>
    <row r="5" ht="14.25" customHeight="1">
      <c r="A5" s="101"/>
      <c r="B5" s="107" t="s">
        <v>56</v>
      </c>
      <c r="C5" s="108" t="s">
        <v>55</v>
      </c>
      <c r="D5" s="109">
        <v>0.2651309</v>
      </c>
      <c r="E5" s="110">
        <v>0.023396384</v>
      </c>
      <c r="F5" s="110">
        <v>-0.241734516</v>
      </c>
      <c r="G5" s="111">
        <v>-91.1755348018658</v>
      </c>
    </row>
    <row r="6" ht="14.25" customHeight="1">
      <c r="A6" s="101"/>
      <c r="B6" s="107" t="s">
        <v>57</v>
      </c>
      <c r="C6" s="108" t="s">
        <v>55</v>
      </c>
      <c r="D6" s="109">
        <v>2615.3519</v>
      </c>
      <c r="E6" s="110">
        <v>325.57222</v>
      </c>
      <c r="F6" s="110">
        <v>-2289.77968</v>
      </c>
      <c r="G6" s="111">
        <v>-87.55149469560864</v>
      </c>
    </row>
    <row r="7" ht="14.25" customHeight="1">
      <c r="A7" s="101"/>
      <c r="B7" s="107" t="s">
        <v>58</v>
      </c>
      <c r="C7" s="108" t="s">
        <v>55</v>
      </c>
      <c r="D7" s="109">
        <v>0.16754577</v>
      </c>
      <c r="E7" s="110">
        <v>0.014430156</v>
      </c>
      <c r="F7" s="110">
        <v>-0.153115614</v>
      </c>
      <c r="G7" s="111">
        <v>-91.38733493540303</v>
      </c>
    </row>
    <row r="8" ht="14.25" customHeight="1">
      <c r="A8" s="101"/>
      <c r="B8" s="107" t="s">
        <v>59</v>
      </c>
      <c r="C8" s="108" t="s">
        <v>60</v>
      </c>
      <c r="D8" s="109">
        <v>3232.1966</v>
      </c>
      <c r="E8" s="110">
        <v>1128.6397</v>
      </c>
      <c r="F8" s="110">
        <v>-2103.5569000000005</v>
      </c>
      <c r="G8" s="111">
        <v>-65.08134127732207</v>
      </c>
    </row>
    <row r="9" ht="14.25" customHeight="1">
      <c r="A9" s="101"/>
      <c r="B9" s="107" t="s">
        <v>61</v>
      </c>
      <c r="C9" s="108" t="s">
        <v>60</v>
      </c>
      <c r="D9" s="109">
        <v>3181.6004</v>
      </c>
      <c r="E9" s="110">
        <v>1120.6708</v>
      </c>
      <c r="F9" s="110">
        <v>-2060.9295999999995</v>
      </c>
      <c r="G9" s="111">
        <v>-64.77650681713516</v>
      </c>
    </row>
    <row r="10" ht="14.25" customHeight="1">
      <c r="A10" s="101"/>
      <c r="B10" s="107" t="s">
        <v>62</v>
      </c>
      <c r="C10" s="108" t="s">
        <v>60</v>
      </c>
      <c r="D10" s="109">
        <v>50.596211</v>
      </c>
      <c r="E10" s="110">
        <v>7.9688807</v>
      </c>
      <c r="F10" s="110">
        <v>-42.6273303</v>
      </c>
      <c r="G10" s="111">
        <v>-84.25004453396717</v>
      </c>
    </row>
    <row r="11" ht="14.25" customHeight="1">
      <c r="A11" s="101"/>
      <c r="B11" s="107" t="s">
        <v>63</v>
      </c>
      <c r="C11" s="108" t="s">
        <v>64</v>
      </c>
      <c r="D11" s="109">
        <v>2.573077E-5</v>
      </c>
      <c r="E11" s="110">
        <v>2.5681866E-6</v>
      </c>
      <c r="F11" s="110">
        <v>-2.31625834E-5</v>
      </c>
      <c r="G11" s="111">
        <v>-90.01900603829579</v>
      </c>
    </row>
    <row r="12" ht="14.25" customHeight="1">
      <c r="A12" s="101"/>
      <c r="B12" s="102" t="s">
        <v>65</v>
      </c>
      <c r="C12" s="103" t="s">
        <v>66</v>
      </c>
      <c r="D12" s="104">
        <v>2.8604369</v>
      </c>
      <c r="E12" s="105">
        <v>0.10870994</v>
      </c>
      <c r="F12" s="105">
        <v>-2.75172696</v>
      </c>
      <c r="G12" s="106">
        <v>-96.19953371458745</v>
      </c>
    </row>
    <row r="13" ht="14.25" customHeight="1">
      <c r="A13" s="101"/>
      <c r="B13" s="102" t="s">
        <v>67</v>
      </c>
      <c r="C13" s="103" t="s">
        <v>68</v>
      </c>
      <c r="D13" s="104">
        <v>1.30656</v>
      </c>
      <c r="E13" s="105">
        <v>0.0073031219</v>
      </c>
      <c r="F13" s="105">
        <v>-1.2992568781</v>
      </c>
      <c r="G13" s="106">
        <v>-99.4410419804678</v>
      </c>
    </row>
    <row r="14" ht="14.25" customHeight="1">
      <c r="A14" s="101"/>
      <c r="B14" s="102" t="s">
        <v>69</v>
      </c>
      <c r="C14" s="103" t="s">
        <v>70</v>
      </c>
      <c r="D14" s="104">
        <v>29.262183</v>
      </c>
      <c r="E14" s="105">
        <v>1.1718936</v>
      </c>
      <c r="F14" s="105">
        <v>-28.0902894</v>
      </c>
      <c r="G14" s="106">
        <v>-95.99519420680268</v>
      </c>
    </row>
    <row r="15" ht="14.25" customHeight="1">
      <c r="A15" s="101"/>
      <c r="B15" s="107" t="s">
        <v>71</v>
      </c>
      <c r="C15" s="108" t="s">
        <v>72</v>
      </c>
      <c r="D15" s="109">
        <v>2.0554016E-7</v>
      </c>
      <c r="E15" s="110">
        <v>4.2451674E-8</v>
      </c>
      <c r="F15" s="110">
        <v>-1.63088486E-7</v>
      </c>
      <c r="G15" s="111">
        <v>-79.34628736301461</v>
      </c>
    </row>
    <row r="16" ht="14.25" customHeight="1">
      <c r="A16" s="101"/>
      <c r="B16" s="107" t="s">
        <v>73</v>
      </c>
      <c r="C16" s="108" t="s">
        <v>72</v>
      </c>
      <c r="D16" s="109">
        <v>1.5967396E-7</v>
      </c>
      <c r="E16" s="110">
        <v>1.5849447E-8</v>
      </c>
      <c r="F16" s="110">
        <v>-1.4382451299999999E-7</v>
      </c>
      <c r="G16" s="111">
        <v>-90.07386865084325</v>
      </c>
    </row>
    <row r="17" ht="14.25" customHeight="1">
      <c r="A17" s="101"/>
      <c r="B17" s="107" t="s">
        <v>74</v>
      </c>
      <c r="C17" s="108" t="s">
        <v>72</v>
      </c>
      <c r="D17" s="109">
        <v>4.5866204E-8</v>
      </c>
      <c r="E17" s="110">
        <v>2.6602226E-8</v>
      </c>
      <c r="F17" s="110">
        <v>-1.9263978E-8</v>
      </c>
      <c r="G17" s="111">
        <v>-42.00037570146419</v>
      </c>
    </row>
    <row r="18" ht="14.25" customHeight="1">
      <c r="A18" s="101"/>
      <c r="B18" s="107" t="s">
        <v>75</v>
      </c>
      <c r="C18" s="108" t="s">
        <v>72</v>
      </c>
      <c r="D18" s="109">
        <v>1.008289E-5</v>
      </c>
      <c r="E18" s="110">
        <v>5.7470074E-7</v>
      </c>
      <c r="F18" s="110">
        <v>-9.50818926E-6</v>
      </c>
      <c r="G18" s="111">
        <v>-94.30023792781633</v>
      </c>
    </row>
    <row r="19" ht="14.25" customHeight="1">
      <c r="A19" s="101"/>
      <c r="B19" s="107" t="s">
        <v>76</v>
      </c>
      <c r="C19" s="108" t="s">
        <v>72</v>
      </c>
      <c r="D19" s="109">
        <v>9.8399248E-6</v>
      </c>
      <c r="E19" s="110">
        <v>5.3412172E-7</v>
      </c>
      <c r="F19" s="110">
        <v>-9.30580308E-6</v>
      </c>
      <c r="G19" s="111">
        <v>-94.57189225673757</v>
      </c>
    </row>
    <row r="20" ht="14.25" customHeight="1">
      <c r="A20" s="101"/>
      <c r="B20" s="107" t="s">
        <v>77</v>
      </c>
      <c r="C20" s="108" t="s">
        <v>72</v>
      </c>
      <c r="D20" s="109">
        <v>2.4296487E-7</v>
      </c>
      <c r="E20" s="110">
        <v>4.0579023E-8</v>
      </c>
      <c r="F20" s="110">
        <v>-2.0238584699999997E-7</v>
      </c>
      <c r="G20" s="111">
        <v>-83.29839906485246</v>
      </c>
    </row>
    <row r="21" ht="14.25" customHeight="1">
      <c r="A21" s="101"/>
      <c r="B21" s="107" t="s">
        <v>78</v>
      </c>
      <c r="C21" s="108" t="s">
        <v>79</v>
      </c>
      <c r="D21" s="109">
        <v>10.682801</v>
      </c>
      <c r="E21" s="110">
        <v>0.79269826</v>
      </c>
      <c r="F21" s="110">
        <v>-9.89010274</v>
      </c>
      <c r="G21" s="111">
        <v>-92.57967774556505</v>
      </c>
    </row>
    <row r="22" ht="14.25" customHeight="1">
      <c r="A22" s="101"/>
      <c r="B22" s="102" t="s">
        <v>80</v>
      </c>
      <c r="C22" s="103" t="s">
        <v>81</v>
      </c>
      <c r="D22" s="104">
        <v>3352.9213</v>
      </c>
      <c r="E22" s="105">
        <v>225.97396</v>
      </c>
      <c r="F22" s="105">
        <v>-3126.94734</v>
      </c>
      <c r="G22" s="106">
        <v>-93.26038580148006</v>
      </c>
    </row>
    <row r="23" ht="14.25" customHeight="1">
      <c r="A23" s="101"/>
      <c r="B23" s="107" t="s">
        <v>82</v>
      </c>
      <c r="C23" s="108" t="s">
        <v>83</v>
      </c>
      <c r="D23" s="109">
        <v>5.9226138E-5</v>
      </c>
      <c r="E23" s="110">
        <v>2.7248665E-5</v>
      </c>
      <c r="F23" s="110">
        <v>-3.1977473E-5</v>
      </c>
      <c r="G23" s="111">
        <v>-53.992163054764774</v>
      </c>
    </row>
    <row r="24" ht="14.25" customHeight="1">
      <c r="A24" s="101"/>
      <c r="B24" s="107" t="s">
        <v>84</v>
      </c>
      <c r="C24" s="108" t="s">
        <v>85</v>
      </c>
      <c r="D24" s="109">
        <v>7.8492507</v>
      </c>
      <c r="E24" s="110">
        <v>0.4213221</v>
      </c>
      <c r="F24" s="110">
        <v>-7.4279285999999995</v>
      </c>
      <c r="G24" s="111">
        <v>-94.63232713410466</v>
      </c>
    </row>
    <row r="25" ht="14.25" customHeight="1">
      <c r="A25" s="101"/>
      <c r="B25" s="107" t="s">
        <v>86</v>
      </c>
      <c r="C25" s="108" t="s">
        <v>87</v>
      </c>
      <c r="D25" s="109">
        <v>32837.05</v>
      </c>
      <c r="E25" s="110">
        <v>5190.1862</v>
      </c>
      <c r="F25" s="110">
        <v>-27646.863800000003</v>
      </c>
      <c r="G25" s="111">
        <v>-84.19411548844978</v>
      </c>
    </row>
    <row r="26" ht="14.25" customHeight="1">
      <c r="A26" s="101"/>
      <c r="B26" s="107" t="s">
        <v>88</v>
      </c>
      <c r="C26" s="108" t="s">
        <v>89</v>
      </c>
      <c r="D26" s="109">
        <v>6.6028811E-4</v>
      </c>
      <c r="E26" s="110">
        <v>5.0882981E-5</v>
      </c>
      <c r="F26" s="110">
        <v>-6.09405129E-4</v>
      </c>
      <c r="G26" s="111">
        <v>-92.29382140471982</v>
      </c>
    </row>
    <row r="27" ht="14.25" customHeight="1">
      <c r="A27" s="89"/>
      <c r="B27" s="112" t="s">
        <v>90</v>
      </c>
      <c r="C27" s="113" t="s">
        <v>91</v>
      </c>
      <c r="D27" s="114">
        <v>185.24788</v>
      </c>
      <c r="E27" s="115">
        <v>26.798842</v>
      </c>
      <c r="F27" s="115">
        <v>-158.449038</v>
      </c>
      <c r="G27" s="116">
        <v>-85.53352297472986</v>
      </c>
    </row>
    <row r="28" ht="14.25" customHeight="1">
      <c r="A28" s="83" t="s">
        <v>92</v>
      </c>
      <c r="B28" s="117" t="s">
        <v>93</v>
      </c>
      <c r="C28" s="118" t="s">
        <v>94</v>
      </c>
      <c r="D28" s="119">
        <v>0.83059487</v>
      </c>
      <c r="E28" s="120">
        <v>0.64783819</v>
      </c>
      <c r="F28" s="120">
        <v>-0.18275668</v>
      </c>
      <c r="G28" s="121">
        <v>-22.00310724288485</v>
      </c>
    </row>
    <row r="29" ht="14.25" customHeight="1">
      <c r="A29" s="101"/>
      <c r="B29" s="102" t="s">
        <v>40</v>
      </c>
      <c r="C29" s="103" t="s">
        <v>95</v>
      </c>
      <c r="D29" s="104">
        <v>33.383056</v>
      </c>
      <c r="E29" s="105">
        <v>0.8107891</v>
      </c>
      <c r="F29" s="105">
        <v>-32.5722669</v>
      </c>
      <c r="G29" s="106">
        <v>-97.57125560943251</v>
      </c>
    </row>
    <row r="30" ht="14.25" customHeight="1">
      <c r="A30" s="101"/>
      <c r="B30" s="102" t="s">
        <v>96</v>
      </c>
      <c r="C30" s="103" t="s">
        <v>97</v>
      </c>
      <c r="D30" s="104">
        <v>5.3341062</v>
      </c>
      <c r="E30" s="105">
        <v>0.062712089</v>
      </c>
      <c r="F30" s="105">
        <v>-5.271394111</v>
      </c>
      <c r="G30" s="106">
        <v>-98.82431870216608</v>
      </c>
    </row>
    <row r="31" ht="14.25" customHeight="1">
      <c r="A31" s="101"/>
      <c r="B31" s="107" t="s">
        <v>98</v>
      </c>
      <c r="C31" s="108" t="s">
        <v>87</v>
      </c>
      <c r="D31" s="109">
        <v>32913.514698000006</v>
      </c>
      <c r="E31" s="110">
        <v>5186.3975663</v>
      </c>
      <c r="F31" s="110">
        <v>-27727.117131700004</v>
      </c>
      <c r="G31" s="111">
        <v>-84.24234660476672</v>
      </c>
    </row>
    <row r="32" ht="14.25" customHeight="1">
      <c r="A32" s="101"/>
      <c r="B32" s="107" t="s">
        <v>99</v>
      </c>
      <c r="C32" s="108" t="s">
        <v>87</v>
      </c>
      <c r="D32" s="109">
        <v>32855.944</v>
      </c>
      <c r="E32" s="110">
        <v>5179.667</v>
      </c>
      <c r="F32" s="110">
        <v>-27676.277000000002</v>
      </c>
      <c r="G32" s="111">
        <v>-84.23522087814612</v>
      </c>
    </row>
    <row r="33" ht="14.25" customHeight="1">
      <c r="A33" s="101"/>
      <c r="B33" s="107" t="s">
        <v>100</v>
      </c>
      <c r="C33" s="108" t="s">
        <v>87</v>
      </c>
      <c r="D33" s="109">
        <v>57.570698</v>
      </c>
      <c r="E33" s="110">
        <v>6.7305663</v>
      </c>
      <c r="F33" s="110">
        <v>-50.8401317</v>
      </c>
      <c r="G33" s="111">
        <v>-88.30904169339757</v>
      </c>
    </row>
    <row r="34" ht="14.25" customHeight="1">
      <c r="A34" s="101"/>
      <c r="B34" s="107" t="s">
        <v>101</v>
      </c>
      <c r="C34" s="108" t="s">
        <v>102</v>
      </c>
      <c r="D34" s="109">
        <v>5.494964588235294</v>
      </c>
      <c r="E34" s="110">
        <v>0.7597776823529411</v>
      </c>
      <c r="F34" s="110">
        <v>-4.735186905882353</v>
      </c>
      <c r="G34" s="111">
        <v>-86.17320148014014</v>
      </c>
    </row>
    <row r="35" ht="14.25" customHeight="1">
      <c r="A35" s="101"/>
      <c r="B35" s="102" t="s">
        <v>103</v>
      </c>
      <c r="C35" s="103" t="s">
        <v>102</v>
      </c>
      <c r="D35" s="104">
        <v>4.6707199</v>
      </c>
      <c r="E35" s="105">
        <v>0.64581103</v>
      </c>
      <c r="F35" s="105">
        <v>-4.02490887</v>
      </c>
      <c r="G35" s="106">
        <v>-86.17320148014014</v>
      </c>
    </row>
    <row r="36" ht="14.25" customHeight="1">
      <c r="A36" s="101"/>
      <c r="B36" s="107" t="s">
        <v>104</v>
      </c>
      <c r="C36" s="108" t="s">
        <v>102</v>
      </c>
      <c r="D36" s="109">
        <v>0.0</v>
      </c>
      <c r="E36" s="110">
        <v>0.0</v>
      </c>
      <c r="F36" s="110">
        <v>0.0</v>
      </c>
      <c r="G36" s="111">
        <v>0.0</v>
      </c>
    </row>
    <row r="37" ht="14.25" customHeight="1">
      <c r="A37" s="89"/>
      <c r="B37" s="122" t="s">
        <v>105</v>
      </c>
      <c r="C37" s="123" t="s">
        <v>102</v>
      </c>
      <c r="D37" s="124">
        <v>0.8242446882352941</v>
      </c>
      <c r="E37" s="125">
        <v>0.11396665235294116</v>
      </c>
      <c r="F37" s="125">
        <v>-0.7102780358823529</v>
      </c>
      <c r="G37" s="126">
        <v>-86.17320148014015</v>
      </c>
    </row>
    <row r="38" ht="14.25" customHeight="1">
      <c r="A38" s="15" t="s">
        <v>106</v>
      </c>
    </row>
    <row r="39" ht="14.25" customHeight="1">
      <c r="D39" s="127"/>
      <c r="E39" s="127"/>
    </row>
    <row r="40" ht="14.25" customHeight="1">
      <c r="E40" s="80"/>
    </row>
    <row r="41" ht="14.25" customHeight="1"/>
    <row r="42" ht="14.25" customHeight="1"/>
    <row r="43" ht="14.25" customHeight="1"/>
    <row r="44" ht="16.5" customHeight="1"/>
    <row r="45" ht="14.25" customHeight="1"/>
    <row r="46" ht="15.0" customHeight="1"/>
    <row r="47" ht="15.0"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c r="C61" s="128"/>
      <c r="E61" s="128"/>
    </row>
    <row r="62" ht="14.25" customHeight="1"/>
    <row r="63" ht="14.25" customHeight="1"/>
    <row r="64" ht="14.25" customHeight="1"/>
    <row r="65" ht="14.25" customHeight="1">
      <c r="C65" s="128"/>
      <c r="E65" s="128"/>
    </row>
    <row r="66" ht="14.25" customHeight="1"/>
    <row r="67" ht="14.25" customHeight="1">
      <c r="C67" s="128"/>
      <c r="E67" s="128"/>
    </row>
    <row r="68" ht="14.25" customHeight="1"/>
    <row r="69" ht="14.25" customHeight="1"/>
    <row r="70" ht="14.25" customHeight="1">
      <c r="C70" s="128"/>
      <c r="E70" s="128"/>
    </row>
    <row r="71" ht="14.25" customHeight="1">
      <c r="C71" s="128"/>
      <c r="E71" s="128"/>
    </row>
    <row r="72" ht="14.25" customHeight="1">
      <c r="C72" s="128"/>
      <c r="E72" s="128"/>
    </row>
    <row r="73" ht="14.25" customHeight="1">
      <c r="C73" s="128"/>
      <c r="E73" s="128"/>
    </row>
    <row r="74" ht="14.25" customHeight="1">
      <c r="C74" s="128"/>
      <c r="E74" s="128"/>
    </row>
    <row r="75" ht="14.25" customHeight="1">
      <c r="C75" s="128"/>
      <c r="E75" s="128"/>
    </row>
    <row r="76" ht="14.25" customHeight="1">
      <c r="C76" s="128"/>
      <c r="E76" s="128"/>
    </row>
    <row r="77" ht="14.25" customHeight="1">
      <c r="C77" s="128"/>
      <c r="E77" s="128"/>
    </row>
    <row r="78" ht="14.25" customHeight="1">
      <c r="C78" s="128"/>
      <c r="E78" s="128"/>
    </row>
    <row r="79" ht="14.25" customHeight="1">
      <c r="C79" s="128"/>
      <c r="E79" s="128"/>
    </row>
    <row r="80" ht="14.25" customHeight="1"/>
    <row r="81" ht="14.25" customHeight="1"/>
    <row r="82" ht="14.25" customHeight="1">
      <c r="C82" s="128"/>
      <c r="E82" s="128"/>
    </row>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2"/>
    <mergeCell ref="B1:B2"/>
    <mergeCell ref="C1:C2"/>
    <mergeCell ref="A3:A27"/>
    <mergeCell ref="A28:A37"/>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2" width="54.43"/>
    <col customWidth="1" min="3" max="3" width="31.86"/>
    <col customWidth="1" min="4" max="4" width="30.57"/>
    <col customWidth="1" min="5" max="5" width="28.71"/>
    <col customWidth="1" min="6" max="7" width="29.71"/>
    <col customWidth="1" min="8" max="8" width="28.86"/>
    <col customWidth="1" min="9" max="9" width="9.71"/>
    <col customWidth="1" min="10" max="10" width="15.71"/>
    <col customWidth="1" min="11" max="27" width="8.71"/>
  </cols>
  <sheetData>
    <row r="1" ht="15.0" customHeight="1">
      <c r="A1" s="129" t="e">
        <v>#VALUE!</v>
      </c>
      <c r="B1" s="130" t="s">
        <v>47</v>
      </c>
      <c r="C1" s="131" t="s">
        <v>107</v>
      </c>
      <c r="D1" s="130" t="s">
        <v>32</v>
      </c>
      <c r="E1" s="132" t="s">
        <v>33</v>
      </c>
      <c r="F1" s="132" t="s">
        <v>49</v>
      </c>
      <c r="G1" s="131" t="s">
        <v>50</v>
      </c>
    </row>
    <row r="2" ht="14.25" customHeight="1">
      <c r="A2" s="133"/>
      <c r="B2" s="134"/>
      <c r="C2" s="135"/>
      <c r="D2" s="134"/>
      <c r="E2" s="136"/>
      <c r="F2" s="136"/>
      <c r="G2" s="135"/>
    </row>
    <row r="3" ht="18.0" customHeight="1">
      <c r="A3" s="95" t="s">
        <v>51</v>
      </c>
      <c r="B3" s="96" t="s">
        <v>52</v>
      </c>
      <c r="C3" s="97" t="s">
        <v>53</v>
      </c>
      <c r="D3" s="98">
        <v>21.421209</v>
      </c>
      <c r="E3" s="99">
        <v>19.603987</v>
      </c>
      <c r="F3" s="99">
        <v>-1.8172229999999985</v>
      </c>
      <c r="G3" s="100">
        <v>-11.026733543861255</v>
      </c>
    </row>
    <row r="4" ht="21.75" customHeight="1">
      <c r="A4" s="101"/>
      <c r="B4" s="102" t="s">
        <v>54</v>
      </c>
      <c r="C4" s="103" t="s">
        <v>55</v>
      </c>
      <c r="D4" s="104">
        <v>2692.3494</v>
      </c>
      <c r="E4" s="105">
        <v>2469.0574</v>
      </c>
      <c r="F4" s="105">
        <v>-223.29199999999992</v>
      </c>
      <c r="G4" s="106">
        <v>-12.01028629395973</v>
      </c>
    </row>
    <row r="5" ht="14.25" customHeight="1">
      <c r="A5" s="101"/>
      <c r="B5" s="107" t="s">
        <v>56</v>
      </c>
      <c r="C5" s="108" t="s">
        <v>55</v>
      </c>
      <c r="D5" s="109">
        <v>0.71452823</v>
      </c>
      <c r="E5" s="110">
        <v>0.69095912</v>
      </c>
      <c r="F5" s="110">
        <v>-0.023569100000000454</v>
      </c>
      <c r="G5" s="111">
        <v>-0.541344757698097</v>
      </c>
    </row>
    <row r="6" ht="14.25" customHeight="1">
      <c r="A6" s="101"/>
      <c r="B6" s="107" t="s">
        <v>57</v>
      </c>
      <c r="C6" s="108" t="s">
        <v>55</v>
      </c>
      <c r="D6" s="109">
        <v>1541.0359</v>
      </c>
      <c r="E6" s="110">
        <v>1317.7824</v>
      </c>
      <c r="F6" s="110">
        <v>-223.25350000000003</v>
      </c>
      <c r="G6" s="111">
        <v>-17.358575507259</v>
      </c>
    </row>
    <row r="7" ht="14.25" customHeight="1">
      <c r="A7" s="101"/>
      <c r="B7" s="107" t="s">
        <v>58</v>
      </c>
      <c r="C7" s="108" t="s">
        <v>55</v>
      </c>
      <c r="D7" s="109">
        <v>1150.599</v>
      </c>
      <c r="E7" s="110">
        <v>1150.5841</v>
      </c>
      <c r="F7" s="110">
        <v>-0.014919999999960964</v>
      </c>
      <c r="G7" s="111">
        <v>-0.002623567939852237</v>
      </c>
    </row>
    <row r="8" ht="14.25" customHeight="1">
      <c r="A8" s="101"/>
      <c r="B8" s="107" t="s">
        <v>59</v>
      </c>
      <c r="C8" s="108" t="s">
        <v>60</v>
      </c>
      <c r="D8" s="109">
        <v>14617.655</v>
      </c>
      <c r="E8" s="110">
        <v>14412.558</v>
      </c>
      <c r="F8" s="110">
        <v>-205.09700000000157</v>
      </c>
      <c r="G8" s="111">
        <v>-0.4844069461429414</v>
      </c>
    </row>
    <row r="9" ht="14.25" customHeight="1">
      <c r="A9" s="101"/>
      <c r="B9" s="107" t="s">
        <v>61</v>
      </c>
      <c r="C9" s="108" t="s">
        <v>60</v>
      </c>
      <c r="D9" s="109">
        <v>2606.8188</v>
      </c>
      <c r="E9" s="110">
        <v>2405.8782</v>
      </c>
      <c r="F9" s="110">
        <v>-200.9406999999992</v>
      </c>
      <c r="G9" s="111">
        <v>-4.027193784827453</v>
      </c>
    </row>
    <row r="10" ht="14.25" customHeight="1">
      <c r="A10" s="101"/>
      <c r="B10" s="107" t="s">
        <v>62</v>
      </c>
      <c r="C10" s="108" t="s">
        <v>60</v>
      </c>
      <c r="D10" s="109">
        <v>12010.836</v>
      </c>
      <c r="E10" s="110">
        <v>12006.68</v>
      </c>
      <c r="F10" s="110">
        <v>-4.1560000000026776</v>
      </c>
      <c r="G10" s="111">
        <v>-0.011127110422762933</v>
      </c>
    </row>
    <row r="11" ht="14.25" customHeight="1">
      <c r="A11" s="101"/>
      <c r="B11" s="107" t="s">
        <v>63</v>
      </c>
      <c r="C11" s="108" t="s">
        <v>64</v>
      </c>
      <c r="D11" s="109">
        <v>1.5607426E-4</v>
      </c>
      <c r="E11" s="110">
        <v>1.538159E-4</v>
      </c>
      <c r="F11" s="110">
        <v>-2.258359999999989E-6</v>
      </c>
      <c r="G11" s="111">
        <v>-1.9465252865301572</v>
      </c>
    </row>
    <row r="12" ht="14.25" customHeight="1">
      <c r="A12" s="101"/>
      <c r="B12" s="102" t="s">
        <v>65</v>
      </c>
      <c r="C12" s="103" t="s">
        <v>66</v>
      </c>
      <c r="D12" s="104">
        <v>12.738728</v>
      </c>
      <c r="E12" s="105">
        <v>12.470435</v>
      </c>
      <c r="F12" s="105">
        <v>-0.268293400000001</v>
      </c>
      <c r="G12" s="106">
        <v>-2.894628048839575</v>
      </c>
    </row>
    <row r="13" ht="14.25" customHeight="1">
      <c r="A13" s="101"/>
      <c r="B13" s="102" t="s">
        <v>67</v>
      </c>
      <c r="C13" s="103" t="s">
        <v>68</v>
      </c>
      <c r="D13" s="104">
        <v>0.47447896</v>
      </c>
      <c r="E13" s="105">
        <v>0.34780141</v>
      </c>
      <c r="F13" s="105">
        <v>-0.12667754999999997</v>
      </c>
      <c r="G13" s="106">
        <v>-21.3412594026003</v>
      </c>
    </row>
    <row r="14" ht="14.25" customHeight="1">
      <c r="A14" s="101"/>
      <c r="B14" s="102" t="s">
        <v>69</v>
      </c>
      <c r="C14" s="103" t="s">
        <v>70</v>
      </c>
      <c r="D14" s="104">
        <v>67.853663</v>
      </c>
      <c r="E14" s="105">
        <v>65.11486</v>
      </c>
      <c r="F14" s="105">
        <v>-2.738804000000002</v>
      </c>
      <c r="G14" s="106">
        <v>-4.9930818352484145</v>
      </c>
    </row>
    <row r="15" ht="14.25" customHeight="1">
      <c r="A15" s="101"/>
      <c r="B15" s="107" t="s">
        <v>71</v>
      </c>
      <c r="C15" s="108" t="s">
        <v>72</v>
      </c>
      <c r="D15" s="109">
        <v>9.0250344E-7</v>
      </c>
      <c r="E15" s="110">
        <v>8.8660231E-7</v>
      </c>
      <c r="F15" s="110">
        <v>-1.590113E-8</v>
      </c>
      <c r="G15" s="111">
        <v>-1.7131683030965892</v>
      </c>
    </row>
    <row r="16" ht="14.25" customHeight="1">
      <c r="A16" s="101"/>
      <c r="B16" s="107" t="s">
        <v>73</v>
      </c>
      <c r="C16" s="108" t="s">
        <v>72</v>
      </c>
      <c r="D16" s="109">
        <v>6.44441E-7</v>
      </c>
      <c r="E16" s="110">
        <v>6.3041811E-7</v>
      </c>
      <c r="F16" s="110">
        <v>-1.4022890000000017E-8</v>
      </c>
      <c r="G16" s="111">
        <v>-2.5340327533033924</v>
      </c>
    </row>
    <row r="17" ht="14.25" customHeight="1">
      <c r="A17" s="101"/>
      <c r="B17" s="107" t="s">
        <v>74</v>
      </c>
      <c r="C17" s="108" t="s">
        <v>72</v>
      </c>
      <c r="D17" s="109">
        <v>2.5806244E-7</v>
      </c>
      <c r="E17" s="110">
        <v>2.561842E-7</v>
      </c>
      <c r="F17" s="110">
        <v>-1.8782399999999825E-9</v>
      </c>
      <c r="G17" s="111">
        <v>-0.501146553108592</v>
      </c>
    </row>
    <row r="18" ht="14.25" customHeight="1">
      <c r="A18" s="101"/>
      <c r="B18" s="107" t="s">
        <v>75</v>
      </c>
      <c r="C18" s="108" t="s">
        <v>72</v>
      </c>
      <c r="D18" s="109">
        <v>3.8009556E-5</v>
      </c>
      <c r="E18" s="110">
        <v>3.7082508E-5</v>
      </c>
      <c r="F18" s="110">
        <v>-9.270489999999971E-7</v>
      </c>
      <c r="G18" s="111">
        <v>-2.9893989648971115</v>
      </c>
    </row>
    <row r="19" ht="14.25" customHeight="1">
      <c r="A19" s="101"/>
      <c r="B19" s="107" t="s">
        <v>76</v>
      </c>
      <c r="C19" s="108" t="s">
        <v>72</v>
      </c>
      <c r="D19" s="109">
        <v>3.4963182E-5</v>
      </c>
      <c r="E19" s="110">
        <v>3.4055867E-5</v>
      </c>
      <c r="F19" s="110">
        <v>-9.073160000000011E-7</v>
      </c>
      <c r="G19" s="111">
        <v>-3.2269967788574547</v>
      </c>
    </row>
    <row r="20" ht="14.25" customHeight="1">
      <c r="A20" s="101"/>
      <c r="B20" s="107" t="s">
        <v>77</v>
      </c>
      <c r="C20" s="108" t="s">
        <v>72</v>
      </c>
      <c r="D20" s="109">
        <v>3.0463736E-6</v>
      </c>
      <c r="E20" s="110">
        <v>3.026641E-6</v>
      </c>
      <c r="F20" s="110">
        <v>-1.9732600000000093E-8</v>
      </c>
      <c r="G20" s="111">
        <v>-0.681657729306584</v>
      </c>
    </row>
    <row r="21" ht="14.25" customHeight="1">
      <c r="A21" s="101"/>
      <c r="B21" s="107" t="s">
        <v>78</v>
      </c>
      <c r="C21" s="108" t="s">
        <v>79</v>
      </c>
      <c r="D21" s="109">
        <v>105.24244</v>
      </c>
      <c r="E21" s="110">
        <v>104.27815</v>
      </c>
      <c r="F21" s="110">
        <v>-0.9642850000000038</v>
      </c>
      <c r="G21" s="111">
        <v>-2.1132031361097416</v>
      </c>
    </row>
    <row r="22" ht="14.25" customHeight="1">
      <c r="A22" s="101"/>
      <c r="B22" s="102" t="s">
        <v>80</v>
      </c>
      <c r="C22" s="103" t="s">
        <v>81</v>
      </c>
      <c r="D22" s="104">
        <v>147838.2</v>
      </c>
      <c r="E22" s="105">
        <v>147533.32</v>
      </c>
      <c r="F22" s="105">
        <v>-304.88000000000466</v>
      </c>
      <c r="G22" s="106">
        <v>-0.2382027226427475</v>
      </c>
    </row>
    <row r="23" ht="14.25" customHeight="1">
      <c r="A23" s="101"/>
      <c r="B23" s="107" t="s">
        <v>82</v>
      </c>
      <c r="C23" s="108" t="s">
        <v>83</v>
      </c>
      <c r="D23" s="109">
        <v>1.3063927E-4</v>
      </c>
      <c r="E23" s="110">
        <v>1.2752147E-4</v>
      </c>
      <c r="F23" s="110">
        <v>-3.1178040000000035E-6</v>
      </c>
      <c r="G23" s="111">
        <v>-4.21606879985844</v>
      </c>
    </row>
    <row r="24" ht="14.25" customHeight="1">
      <c r="A24" s="101"/>
      <c r="B24" s="107" t="s">
        <v>84</v>
      </c>
      <c r="C24" s="108" t="s">
        <v>85</v>
      </c>
      <c r="D24" s="109">
        <v>7.2377335</v>
      </c>
      <c r="E24" s="110">
        <v>6.5135104</v>
      </c>
      <c r="F24" s="110">
        <v>-0.7242230999999997</v>
      </c>
      <c r="G24" s="111">
        <v>-11.945367964316912</v>
      </c>
    </row>
    <row r="25" ht="14.25" customHeight="1">
      <c r="A25" s="101"/>
      <c r="B25" s="107" t="s">
        <v>86</v>
      </c>
      <c r="C25" s="108" t="s">
        <v>87</v>
      </c>
      <c r="D25" s="109">
        <v>20548.647</v>
      </c>
      <c r="E25" s="110">
        <v>17853.077</v>
      </c>
      <c r="F25" s="110">
        <v>-2695.5689999999995</v>
      </c>
      <c r="G25" s="111">
        <v>-18.931007986637173</v>
      </c>
    </row>
    <row r="26" ht="14.25" customHeight="1">
      <c r="A26" s="101"/>
      <c r="B26" s="107" t="s">
        <v>88</v>
      </c>
      <c r="C26" s="108" t="s">
        <v>89</v>
      </c>
      <c r="D26" s="109">
        <v>0.001678067</v>
      </c>
      <c r="E26" s="110">
        <v>0.00161865</v>
      </c>
      <c r="F26" s="110">
        <v>-5.941699999999998E-5</v>
      </c>
      <c r="G26" s="111">
        <v>-1.3678616668882853</v>
      </c>
    </row>
    <row r="27" ht="14.25" customHeight="1">
      <c r="A27" s="89"/>
      <c r="B27" s="112" t="s">
        <v>90</v>
      </c>
      <c r="C27" s="113" t="s">
        <v>91</v>
      </c>
      <c r="D27" s="114">
        <v>705.9082</v>
      </c>
      <c r="E27" s="115">
        <v>690.45942</v>
      </c>
      <c r="F27" s="115">
        <v>-15.448799999999665</v>
      </c>
      <c r="G27" s="116">
        <v>-0.4603578870750537</v>
      </c>
    </row>
    <row r="28" ht="14.25" customHeight="1">
      <c r="A28" s="83" t="s">
        <v>92</v>
      </c>
      <c r="B28" s="117" t="s">
        <v>93</v>
      </c>
      <c r="C28" s="118" t="s">
        <v>94</v>
      </c>
      <c r="D28" s="119">
        <v>30948.79</v>
      </c>
      <c r="E28" s="120">
        <v>30948.772</v>
      </c>
      <c r="F28" s="120">
        <v>-0.017800000000079308</v>
      </c>
      <c r="G28" s="121">
        <v>-8.208244074479811E-4</v>
      </c>
    </row>
    <row r="29" ht="14.25" customHeight="1">
      <c r="A29" s="101"/>
      <c r="B29" s="102" t="s">
        <v>40</v>
      </c>
      <c r="C29" s="103" t="s">
        <v>95</v>
      </c>
      <c r="D29" s="104">
        <v>2882.7883</v>
      </c>
      <c r="E29" s="105">
        <v>2879.6125</v>
      </c>
      <c r="F29" s="105">
        <v>-3.175799999999981</v>
      </c>
      <c r="G29" s="106">
        <v>-0.21933124757544503</v>
      </c>
    </row>
    <row r="30" ht="14.25" customHeight="1">
      <c r="A30" s="101"/>
      <c r="B30" s="102" t="s">
        <v>96</v>
      </c>
      <c r="C30" s="103" t="s">
        <v>97</v>
      </c>
      <c r="D30" s="104">
        <v>8.1778512</v>
      </c>
      <c r="E30" s="105">
        <v>7.6638903</v>
      </c>
      <c r="F30" s="105">
        <v>-0.5139610000000001</v>
      </c>
      <c r="G30" s="106">
        <v>-8.524424012875578</v>
      </c>
    </row>
    <row r="31" ht="14.25" customHeight="1">
      <c r="A31" s="101"/>
      <c r="B31" s="107" t="s">
        <v>98</v>
      </c>
      <c r="C31" s="108" t="s">
        <v>87</v>
      </c>
      <c r="D31" s="109">
        <v>20640.86199</v>
      </c>
      <c r="E31" s="110">
        <v>17937.46808</v>
      </c>
      <c r="F31" s="110">
        <v>-2703.3942100000004</v>
      </c>
      <c r="G31" s="111">
        <v>-22.333249854571687</v>
      </c>
    </row>
    <row r="32" ht="14.25" customHeight="1">
      <c r="A32" s="101"/>
      <c r="B32" s="107" t="s">
        <v>99</v>
      </c>
      <c r="C32" s="108" t="s">
        <v>87</v>
      </c>
      <c r="D32" s="109">
        <v>20120.482</v>
      </c>
      <c r="E32" s="110">
        <v>17422.045</v>
      </c>
      <c r="F32" s="110">
        <v>-2698.4372999999996</v>
      </c>
      <c r="G32" s="111">
        <v>-22.948619581031895</v>
      </c>
    </row>
    <row r="33" ht="14.25" customHeight="1">
      <c r="A33" s="101"/>
      <c r="B33" s="107" t="s">
        <v>100</v>
      </c>
      <c r="C33" s="108" t="s">
        <v>87</v>
      </c>
      <c r="D33" s="109">
        <v>520.37999</v>
      </c>
      <c r="E33" s="110">
        <v>515.42308</v>
      </c>
      <c r="F33" s="110">
        <v>-4.9569099999999935</v>
      </c>
      <c r="G33" s="111">
        <v>-1.4318407179565138</v>
      </c>
    </row>
    <row r="34" ht="14.25" customHeight="1">
      <c r="A34" s="101"/>
      <c r="B34" s="107" t="s">
        <v>101</v>
      </c>
      <c r="C34" s="108" t="s">
        <v>102</v>
      </c>
      <c r="D34" s="109">
        <v>909.9273505882353</v>
      </c>
      <c r="E34" s="110">
        <v>909.4656694117648</v>
      </c>
      <c r="F34" s="110">
        <v>-0.46168117647056306</v>
      </c>
      <c r="G34" s="111">
        <v>-0.2274351732906672</v>
      </c>
    </row>
    <row r="35" ht="14.25" customHeight="1">
      <c r="A35" s="101"/>
      <c r="B35" s="102" t="s">
        <v>103</v>
      </c>
      <c r="C35" s="103" t="s">
        <v>102</v>
      </c>
      <c r="D35" s="104">
        <v>24.812588</v>
      </c>
      <c r="E35" s="105">
        <v>24.420159</v>
      </c>
      <c r="F35" s="105">
        <v>-0.3924289999999928</v>
      </c>
      <c r="G35" s="106">
        <v>-0.39109778137175966</v>
      </c>
    </row>
    <row r="36" ht="14.25" customHeight="1">
      <c r="A36" s="101"/>
      <c r="B36" s="107" t="s">
        <v>104</v>
      </c>
      <c r="C36" s="108" t="s">
        <v>102</v>
      </c>
      <c r="D36" s="109">
        <v>748.62566</v>
      </c>
      <c r="E36" s="110">
        <v>748.62566</v>
      </c>
      <c r="F36" s="110">
        <v>0.0</v>
      </c>
      <c r="G36" s="111">
        <v>0.0</v>
      </c>
    </row>
    <row r="37" ht="14.25" customHeight="1">
      <c r="A37" s="89"/>
      <c r="B37" s="122" t="s">
        <v>105</v>
      </c>
      <c r="C37" s="123" t="s">
        <v>102</v>
      </c>
      <c r="D37" s="124">
        <v>136.48910258823528</v>
      </c>
      <c r="E37" s="125">
        <v>136.4198504117647</v>
      </c>
      <c r="F37" s="125">
        <v>-0.06925217647058446</v>
      </c>
      <c r="G37" s="126">
        <v>-0.2274351732906672</v>
      </c>
    </row>
    <row r="38" ht="14.25" customHeight="1">
      <c r="A38" s="15" t="s">
        <v>106</v>
      </c>
      <c r="D38" s="127"/>
      <c r="E38" s="127"/>
    </row>
    <row r="39" ht="14.25" customHeight="1">
      <c r="E39" s="80"/>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c r="C60" s="128"/>
      <c r="E60" s="128"/>
    </row>
    <row r="61" ht="14.25" customHeight="1"/>
    <row r="62" ht="14.25" customHeight="1"/>
    <row r="63" ht="14.25" customHeight="1">
      <c r="C63" s="128"/>
      <c r="E63" s="128"/>
    </row>
    <row r="64" ht="14.25" customHeight="1"/>
    <row r="65" ht="14.25" customHeight="1"/>
    <row r="66" ht="14.25" customHeight="1"/>
    <row r="67" ht="14.25" customHeight="1">
      <c r="C67" s="128"/>
      <c r="E67" s="128"/>
    </row>
    <row r="68" ht="14.25" customHeight="1">
      <c r="C68" s="128"/>
      <c r="E68" s="128"/>
    </row>
    <row r="69" ht="14.25" customHeight="1">
      <c r="C69" s="128"/>
      <c r="E69" s="128"/>
    </row>
    <row r="70" ht="14.25" customHeight="1">
      <c r="C70" s="128"/>
      <c r="E70" s="128"/>
    </row>
    <row r="71" ht="14.25" customHeight="1">
      <c r="C71" s="128"/>
      <c r="E71" s="128"/>
    </row>
    <row r="72" ht="14.25" customHeight="1">
      <c r="C72" s="128"/>
      <c r="E72" s="128"/>
    </row>
    <row r="73" ht="14.25" customHeight="1">
      <c r="C73" s="128"/>
      <c r="E73" s="128"/>
    </row>
    <row r="74" ht="14.25" customHeight="1">
      <c r="C74" s="128"/>
      <c r="E74" s="128"/>
    </row>
    <row r="75" ht="14.25" customHeight="1">
      <c r="C75" s="128"/>
      <c r="E75" s="128"/>
    </row>
    <row r="76" ht="14.25" customHeight="1">
      <c r="C76" s="128"/>
      <c r="E76" s="128"/>
    </row>
    <row r="77" ht="14.25" customHeight="1"/>
    <row r="78" ht="14.25" customHeight="1"/>
    <row r="79" ht="14.25" customHeight="1">
      <c r="C79" s="128"/>
      <c r="E79" s="128"/>
    </row>
    <row r="80" ht="14.25" customHeight="1"/>
    <row r="81" ht="14.25" customHeight="1"/>
    <row r="82" ht="14.25" customHeight="1"/>
    <row r="83" ht="14.25" customHeight="1"/>
    <row r="84" ht="14.25" customHeight="1"/>
    <row r="85" ht="14.25" customHeight="1"/>
    <row r="86" ht="14.25" customHeight="1"/>
    <row r="87" ht="14.25" customHeight="1">
      <c r="I87" s="137"/>
    </row>
    <row r="88" ht="14.25" customHeight="1"/>
    <row r="89" ht="14.25" customHeight="1">
      <c r="J89" s="6"/>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3:A27"/>
    <mergeCell ref="A28:A37"/>
    <mergeCell ref="A1:A2"/>
    <mergeCell ref="B1:B2"/>
    <mergeCell ref="C1:C2"/>
    <mergeCell ref="D1:D2"/>
    <mergeCell ref="E1:E2"/>
    <mergeCell ref="F1:F2"/>
    <mergeCell ref="G1:G2"/>
  </mergeCell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2" width="54.43"/>
    <col customWidth="1" min="3" max="3" width="31.86"/>
    <col customWidth="1" min="4" max="4" width="30.57"/>
    <col customWidth="1" min="5" max="5" width="28.71"/>
    <col customWidth="1" min="6" max="7" width="29.71"/>
    <col customWidth="1" min="8" max="27" width="8.71"/>
  </cols>
  <sheetData>
    <row r="1" ht="15.0" customHeight="1">
      <c r="A1" s="82" t="e">
        <v>#VALUE!</v>
      </c>
      <c r="B1" s="83" t="s">
        <v>47</v>
      </c>
      <c r="C1" s="132" t="s">
        <v>107</v>
      </c>
      <c r="D1" s="130" t="s">
        <v>34</v>
      </c>
      <c r="E1" s="132" t="s">
        <v>35</v>
      </c>
      <c r="F1" s="132" t="s">
        <v>49</v>
      </c>
      <c r="G1" s="131" t="s">
        <v>50</v>
      </c>
    </row>
    <row r="2" ht="14.25" customHeight="1">
      <c r="A2" s="88"/>
      <c r="B2" s="89"/>
      <c r="C2" s="136"/>
      <c r="D2" s="134"/>
      <c r="E2" s="136"/>
      <c r="F2" s="136"/>
      <c r="G2" s="135"/>
    </row>
    <row r="3" ht="18.0" customHeight="1">
      <c r="A3" s="95" t="s">
        <v>51</v>
      </c>
      <c r="B3" s="96" t="s">
        <v>52</v>
      </c>
      <c r="C3" s="97" t="s">
        <v>53</v>
      </c>
      <c r="D3" s="98">
        <v>22.109577</v>
      </c>
      <c r="E3" s="99">
        <v>19.00632</v>
      </c>
      <c r="F3" s="138">
        <f t="shared" ref="F3:F37" si="1">E3-D3</f>
        <v>-3.103257</v>
      </c>
      <c r="G3" s="139">
        <f t="shared" ref="G3:G37" si="2">((E3 - D3) / D3) * 100</f>
        <v>-14.03580448</v>
      </c>
    </row>
    <row r="4" ht="21.75" customHeight="1">
      <c r="A4" s="101"/>
      <c r="B4" s="102" t="s">
        <v>54</v>
      </c>
      <c r="C4" s="103" t="s">
        <v>55</v>
      </c>
      <c r="D4" s="104">
        <v>2601.3976</v>
      </c>
      <c r="E4" s="105">
        <v>2220.0835</v>
      </c>
      <c r="F4" s="140">
        <f t="shared" si="1"/>
        <v>-381.3141</v>
      </c>
      <c r="G4" s="141">
        <f t="shared" si="2"/>
        <v>-14.65804766</v>
      </c>
    </row>
    <row r="5" ht="14.25" customHeight="1">
      <c r="A5" s="101"/>
      <c r="B5" s="107" t="s">
        <v>56</v>
      </c>
      <c r="C5" s="108" t="s">
        <v>55</v>
      </c>
      <c r="D5" s="109">
        <v>0.72721985</v>
      </c>
      <c r="E5" s="110">
        <v>0.68697105</v>
      </c>
      <c r="F5" s="68">
        <f t="shared" si="1"/>
        <v>-0.0402488</v>
      </c>
      <c r="G5" s="69">
        <f t="shared" si="2"/>
        <v>-5.534612401</v>
      </c>
    </row>
    <row r="6" ht="14.25" customHeight="1">
      <c r="A6" s="101"/>
      <c r="B6" s="107" t="s">
        <v>57</v>
      </c>
      <c r="C6" s="108" t="s">
        <v>55</v>
      </c>
      <c r="D6" s="109">
        <v>1669.0303</v>
      </c>
      <c r="E6" s="110">
        <v>1287.7819</v>
      </c>
      <c r="F6" s="68">
        <f t="shared" si="1"/>
        <v>-381.2484</v>
      </c>
      <c r="G6" s="69">
        <f t="shared" si="2"/>
        <v>-22.84250921</v>
      </c>
    </row>
    <row r="7" ht="14.25" customHeight="1">
      <c r="A7" s="101"/>
      <c r="B7" s="107" t="s">
        <v>58</v>
      </c>
      <c r="C7" s="108" t="s">
        <v>55</v>
      </c>
      <c r="D7" s="109">
        <v>931.64011</v>
      </c>
      <c r="E7" s="110">
        <v>931.61462</v>
      </c>
      <c r="F7" s="68">
        <f t="shared" si="1"/>
        <v>-0.02549</v>
      </c>
      <c r="G7" s="69">
        <f t="shared" si="2"/>
        <v>-0.002736035055</v>
      </c>
    </row>
    <row r="8" ht="14.25" customHeight="1">
      <c r="A8" s="101"/>
      <c r="B8" s="107" t="s">
        <v>59</v>
      </c>
      <c r="C8" s="108" t="s">
        <v>60</v>
      </c>
      <c r="D8" s="109">
        <v>14310.075</v>
      </c>
      <c r="E8" s="110">
        <v>13959.833</v>
      </c>
      <c r="F8" s="68">
        <f t="shared" si="1"/>
        <v>-350.242</v>
      </c>
      <c r="G8" s="69">
        <f t="shared" si="2"/>
        <v>-2.447520366</v>
      </c>
    </row>
    <row r="9" ht="14.25" customHeight="1">
      <c r="A9" s="101"/>
      <c r="B9" s="107" t="s">
        <v>61</v>
      </c>
      <c r="C9" s="108" t="s">
        <v>60</v>
      </c>
      <c r="D9" s="109">
        <v>2716.6675</v>
      </c>
      <c r="E9" s="110">
        <v>2373.5228</v>
      </c>
      <c r="F9" s="68">
        <f t="shared" si="1"/>
        <v>-343.1447</v>
      </c>
      <c r="G9" s="69">
        <f t="shared" si="2"/>
        <v>-12.63108938</v>
      </c>
    </row>
    <row r="10" ht="14.25" customHeight="1">
      <c r="A10" s="101"/>
      <c r="B10" s="107" t="s">
        <v>62</v>
      </c>
      <c r="C10" s="108" t="s">
        <v>60</v>
      </c>
      <c r="D10" s="109">
        <v>11593.407</v>
      </c>
      <c r="E10" s="110">
        <v>11586.31</v>
      </c>
      <c r="F10" s="68">
        <f t="shared" si="1"/>
        <v>-7.097</v>
      </c>
      <c r="G10" s="69">
        <f t="shared" si="2"/>
        <v>-0.06121582724</v>
      </c>
    </row>
    <row r="11" ht="14.25" customHeight="1">
      <c r="A11" s="101"/>
      <c r="B11" s="107" t="s">
        <v>63</v>
      </c>
      <c r="C11" s="108" t="s">
        <v>64</v>
      </c>
      <c r="D11" s="109">
        <v>1.527158E-4</v>
      </c>
      <c r="E11" s="110">
        <v>1.4885923E-4</v>
      </c>
      <c r="F11" s="68">
        <f t="shared" si="1"/>
        <v>-0.00000385657</v>
      </c>
      <c r="G11" s="69">
        <f t="shared" si="2"/>
        <v>-2.525324819</v>
      </c>
    </row>
    <row r="12" ht="14.25" customHeight="1">
      <c r="A12" s="101"/>
      <c r="B12" s="102" t="s">
        <v>65</v>
      </c>
      <c r="C12" s="103" t="s">
        <v>66</v>
      </c>
      <c r="D12" s="104">
        <v>12.524371</v>
      </c>
      <c r="E12" s="105">
        <v>12.066209</v>
      </c>
      <c r="F12" s="140">
        <f t="shared" si="1"/>
        <v>-0.458162</v>
      </c>
      <c r="G12" s="141">
        <f t="shared" si="2"/>
        <v>-3.658163751</v>
      </c>
    </row>
    <row r="13" ht="14.25" customHeight="1">
      <c r="A13" s="101"/>
      <c r="B13" s="102" t="s">
        <v>67</v>
      </c>
      <c r="C13" s="103" t="s">
        <v>68</v>
      </c>
      <c r="D13" s="104">
        <v>0.53380731</v>
      </c>
      <c r="E13" s="105">
        <v>0.31748104</v>
      </c>
      <c r="F13" s="140">
        <f t="shared" si="1"/>
        <v>-0.21632627</v>
      </c>
      <c r="G13" s="141">
        <f t="shared" si="2"/>
        <v>-40.52516066</v>
      </c>
    </row>
    <row r="14" ht="14.25" customHeight="1">
      <c r="A14" s="101"/>
      <c r="B14" s="102" t="s">
        <v>69</v>
      </c>
      <c r="C14" s="103" t="s">
        <v>70</v>
      </c>
      <c r="D14" s="104">
        <v>67.742128</v>
      </c>
      <c r="E14" s="105">
        <v>63.065094</v>
      </c>
      <c r="F14" s="140">
        <f t="shared" si="1"/>
        <v>-4.677034</v>
      </c>
      <c r="G14" s="141">
        <f t="shared" si="2"/>
        <v>-6.904173427</v>
      </c>
    </row>
    <row r="15" ht="14.25" customHeight="1">
      <c r="A15" s="101"/>
      <c r="B15" s="107" t="s">
        <v>71</v>
      </c>
      <c r="C15" s="108" t="s">
        <v>72</v>
      </c>
      <c r="D15" s="109">
        <v>8.508097E-7</v>
      </c>
      <c r="E15" s="110">
        <v>8.2365547E-7</v>
      </c>
      <c r="F15" s="68">
        <f t="shared" si="1"/>
        <v>-0.00000002715423</v>
      </c>
      <c r="G15" s="69">
        <f t="shared" si="2"/>
        <v>-3.191575037</v>
      </c>
    </row>
    <row r="16" ht="14.25" customHeight="1">
      <c r="A16" s="101"/>
      <c r="B16" s="107" t="s">
        <v>73</v>
      </c>
      <c r="C16" s="108" t="s">
        <v>72</v>
      </c>
      <c r="D16" s="109">
        <v>5.9904125E-7</v>
      </c>
      <c r="E16" s="110">
        <v>5.7509447E-7</v>
      </c>
      <c r="F16" s="68">
        <f t="shared" si="1"/>
        <v>-0.00000002394678</v>
      </c>
      <c r="G16" s="69">
        <f t="shared" si="2"/>
        <v>-3.9975177</v>
      </c>
    </row>
    <row r="17" ht="14.25" customHeight="1">
      <c r="A17" s="101"/>
      <c r="B17" s="107" t="s">
        <v>74</v>
      </c>
      <c r="C17" s="108" t="s">
        <v>72</v>
      </c>
      <c r="D17" s="109">
        <v>2.5176845E-7</v>
      </c>
      <c r="E17" s="110">
        <v>2.4856099E-7</v>
      </c>
      <c r="F17" s="68">
        <f t="shared" si="1"/>
        <v>-0.00000000320746</v>
      </c>
      <c r="G17" s="69">
        <f t="shared" si="2"/>
        <v>-1.273972176</v>
      </c>
    </row>
    <row r="18" ht="14.25" customHeight="1">
      <c r="A18" s="101"/>
      <c r="B18" s="107" t="s">
        <v>75</v>
      </c>
      <c r="C18" s="108" t="s">
        <v>72</v>
      </c>
      <c r="D18" s="109">
        <v>3.5472291E-5</v>
      </c>
      <c r="E18" s="110">
        <v>3.3889178E-5</v>
      </c>
      <c r="F18" s="68">
        <f t="shared" si="1"/>
        <v>-0.000001583113</v>
      </c>
      <c r="G18" s="69">
        <f t="shared" si="2"/>
        <v>-4.462956734</v>
      </c>
    </row>
    <row r="19" ht="14.25" customHeight="1">
      <c r="A19" s="101"/>
      <c r="B19" s="107" t="s">
        <v>76</v>
      </c>
      <c r="C19" s="108" t="s">
        <v>72</v>
      </c>
      <c r="D19" s="109">
        <v>3.2614112E-5</v>
      </c>
      <c r="E19" s="110">
        <v>3.1064696E-5</v>
      </c>
      <c r="F19" s="68">
        <f t="shared" si="1"/>
        <v>-0.000001549416</v>
      </c>
      <c r="G19" s="69">
        <f t="shared" si="2"/>
        <v>-4.750753294</v>
      </c>
    </row>
    <row r="20" ht="14.25" customHeight="1">
      <c r="A20" s="101"/>
      <c r="B20" s="107" t="s">
        <v>77</v>
      </c>
      <c r="C20" s="108" t="s">
        <v>72</v>
      </c>
      <c r="D20" s="109">
        <v>2.8581789E-6</v>
      </c>
      <c r="E20" s="110">
        <v>2.8244816E-6</v>
      </c>
      <c r="F20" s="68">
        <f t="shared" si="1"/>
        <v>-0.0000000336973</v>
      </c>
      <c r="G20" s="69">
        <f t="shared" si="2"/>
        <v>-1.178977985</v>
      </c>
    </row>
    <row r="21" ht="14.25" customHeight="1">
      <c r="A21" s="101"/>
      <c r="B21" s="107" t="s">
        <v>78</v>
      </c>
      <c r="C21" s="108" t="s">
        <v>79</v>
      </c>
      <c r="D21" s="109">
        <v>103.40771</v>
      </c>
      <c r="E21" s="110">
        <v>101.761</v>
      </c>
      <c r="F21" s="68">
        <f t="shared" si="1"/>
        <v>-1.64671</v>
      </c>
      <c r="G21" s="69">
        <f t="shared" si="2"/>
        <v>-1.592444122</v>
      </c>
    </row>
    <row r="22" ht="14.25" customHeight="1">
      <c r="A22" s="101"/>
      <c r="B22" s="102" t="s">
        <v>80</v>
      </c>
      <c r="C22" s="103" t="s">
        <v>81</v>
      </c>
      <c r="D22" s="104">
        <v>138591.73</v>
      </c>
      <c r="E22" s="105">
        <v>138071.09</v>
      </c>
      <c r="F22" s="140">
        <f t="shared" si="1"/>
        <v>-520.64</v>
      </c>
      <c r="G22" s="141">
        <f t="shared" si="2"/>
        <v>-0.3756645508</v>
      </c>
    </row>
    <row r="23" ht="14.25" customHeight="1">
      <c r="A23" s="101"/>
      <c r="B23" s="107" t="s">
        <v>82</v>
      </c>
      <c r="C23" s="108" t="s">
        <v>83</v>
      </c>
      <c r="D23" s="109">
        <v>1.3094136E-4</v>
      </c>
      <c r="E23" s="110">
        <v>1.2561711E-4</v>
      </c>
      <c r="F23" s="68">
        <f t="shared" si="1"/>
        <v>-0.00000532425</v>
      </c>
      <c r="G23" s="69">
        <f t="shared" si="2"/>
        <v>-4.066133115</v>
      </c>
    </row>
    <row r="24" ht="14.25" customHeight="1">
      <c r="A24" s="101"/>
      <c r="B24" s="107" t="s">
        <v>84</v>
      </c>
      <c r="C24" s="108" t="s">
        <v>85</v>
      </c>
      <c r="D24" s="109">
        <v>7.4042318</v>
      </c>
      <c r="E24" s="110">
        <v>6.1674817</v>
      </c>
      <c r="F24" s="68">
        <f t="shared" si="1"/>
        <v>-1.2367501</v>
      </c>
      <c r="G24" s="69">
        <f t="shared" si="2"/>
        <v>-16.70328717</v>
      </c>
    </row>
    <row r="25" ht="14.25" customHeight="1">
      <c r="A25" s="101"/>
      <c r="B25" s="107" t="s">
        <v>86</v>
      </c>
      <c r="C25" s="108" t="s">
        <v>87</v>
      </c>
      <c r="D25" s="109">
        <v>22142.683</v>
      </c>
      <c r="E25" s="110">
        <v>17539.48</v>
      </c>
      <c r="F25" s="68">
        <f t="shared" si="1"/>
        <v>-4603.203</v>
      </c>
      <c r="G25" s="69">
        <f t="shared" si="2"/>
        <v>-20.7888222</v>
      </c>
    </row>
    <row r="26" ht="14.25" customHeight="1">
      <c r="A26" s="101"/>
      <c r="B26" s="107" t="s">
        <v>88</v>
      </c>
      <c r="C26" s="108" t="s">
        <v>89</v>
      </c>
      <c r="D26" s="109">
        <v>0.0016703638</v>
      </c>
      <c r="E26" s="110">
        <v>0.0015688979</v>
      </c>
      <c r="F26" s="68">
        <f t="shared" si="1"/>
        <v>-0.0001014659</v>
      </c>
      <c r="G26" s="69">
        <f t="shared" si="2"/>
        <v>-6.074479104</v>
      </c>
    </row>
    <row r="27" ht="14.25" customHeight="1">
      <c r="A27" s="89"/>
      <c r="B27" s="112" t="s">
        <v>90</v>
      </c>
      <c r="C27" s="113" t="s">
        <v>91</v>
      </c>
      <c r="D27" s="114">
        <v>714.66761</v>
      </c>
      <c r="E27" s="115">
        <v>688.28584</v>
      </c>
      <c r="F27" s="142">
        <f t="shared" si="1"/>
        <v>-26.38177</v>
      </c>
      <c r="G27" s="143">
        <f t="shared" si="2"/>
        <v>-3.691474139</v>
      </c>
    </row>
    <row r="28" ht="14.25" customHeight="1">
      <c r="A28" s="83" t="s">
        <v>92</v>
      </c>
      <c r="B28" s="117" t="s">
        <v>93</v>
      </c>
      <c r="C28" s="118" t="s">
        <v>94</v>
      </c>
      <c r="D28" s="119">
        <v>28728.232</v>
      </c>
      <c r="E28" s="120">
        <v>28728.202</v>
      </c>
      <c r="F28" s="144">
        <f t="shared" si="1"/>
        <v>-0.03</v>
      </c>
      <c r="G28" s="145">
        <f t="shared" si="2"/>
        <v>-0.0001044268927</v>
      </c>
    </row>
    <row r="29" ht="14.25" customHeight="1">
      <c r="A29" s="101"/>
      <c r="B29" s="102" t="s">
        <v>40</v>
      </c>
      <c r="C29" s="103" t="s">
        <v>95</v>
      </c>
      <c r="D29" s="104">
        <v>2718.4166</v>
      </c>
      <c r="E29" s="105">
        <v>2712.9933</v>
      </c>
      <c r="F29" s="140">
        <f t="shared" si="1"/>
        <v>-5.4233</v>
      </c>
      <c r="G29" s="141">
        <f t="shared" si="2"/>
        <v>-0.1995021661</v>
      </c>
    </row>
    <row r="30" ht="14.25" customHeight="1">
      <c r="A30" s="101"/>
      <c r="B30" s="102" t="s">
        <v>96</v>
      </c>
      <c r="C30" s="103" t="s">
        <v>97</v>
      </c>
      <c r="D30" s="104">
        <v>8.2433512</v>
      </c>
      <c r="E30" s="105">
        <v>7.3656641</v>
      </c>
      <c r="F30" s="140">
        <f t="shared" si="1"/>
        <v>-0.8776871</v>
      </c>
      <c r="G30" s="141">
        <f t="shared" si="2"/>
        <v>-10.64721226</v>
      </c>
    </row>
    <row r="31" ht="14.25" customHeight="1">
      <c r="A31" s="101"/>
      <c r="B31" s="107" t="s">
        <v>98</v>
      </c>
      <c r="C31" s="108" t="s">
        <v>87</v>
      </c>
      <c r="D31" s="109">
        <v>22198.20051</v>
      </c>
      <c r="E31" s="110">
        <v>17581.63563</v>
      </c>
      <c r="F31" s="68">
        <f t="shared" si="1"/>
        <v>-4616.56488</v>
      </c>
      <c r="G31" s="69">
        <f t="shared" si="2"/>
        <v>-20.79702306</v>
      </c>
    </row>
    <row r="32" ht="14.25" customHeight="1">
      <c r="A32" s="101"/>
      <c r="B32" s="107" t="s">
        <v>99</v>
      </c>
      <c r="C32" s="108" t="s">
        <v>87</v>
      </c>
      <c r="D32" s="109">
        <v>21722.533</v>
      </c>
      <c r="E32" s="110">
        <v>17114.433</v>
      </c>
      <c r="F32" s="68">
        <f t="shared" si="1"/>
        <v>-4608.1</v>
      </c>
      <c r="G32" s="69">
        <f t="shared" si="2"/>
        <v>-21.21345609</v>
      </c>
    </row>
    <row r="33" ht="14.25" customHeight="1">
      <c r="A33" s="101"/>
      <c r="B33" s="107" t="s">
        <v>100</v>
      </c>
      <c r="C33" s="108" t="s">
        <v>87</v>
      </c>
      <c r="D33" s="109">
        <v>475.66751</v>
      </c>
      <c r="E33" s="110">
        <v>467.20263</v>
      </c>
      <c r="F33" s="68">
        <f t="shared" si="1"/>
        <v>-8.46488</v>
      </c>
      <c r="G33" s="69">
        <f t="shared" si="2"/>
        <v>-1.779579185</v>
      </c>
    </row>
    <row r="34" ht="14.25" customHeight="1">
      <c r="A34" s="101"/>
      <c r="B34" s="107" t="s">
        <v>101</v>
      </c>
      <c r="C34" s="108" t="s">
        <v>102</v>
      </c>
      <c r="D34" s="109">
        <v>788.5687176470589</v>
      </c>
      <c r="E34" s="110">
        <v>787.7803094117646</v>
      </c>
      <c r="F34" s="68">
        <f t="shared" si="1"/>
        <v>-0.7884082353</v>
      </c>
      <c r="G34" s="69">
        <f t="shared" si="2"/>
        <v>-0.09997964891</v>
      </c>
    </row>
    <row r="35" ht="14.25" customHeight="1">
      <c r="A35" s="101"/>
      <c r="B35" s="102" t="s">
        <v>103</v>
      </c>
      <c r="C35" s="103" t="s">
        <v>102</v>
      </c>
      <c r="D35" s="104">
        <v>24.9509</v>
      </c>
      <c r="E35" s="105">
        <v>24.280753</v>
      </c>
      <c r="F35" s="140">
        <f t="shared" si="1"/>
        <v>-0.670147</v>
      </c>
      <c r="G35" s="141">
        <f t="shared" si="2"/>
        <v>-2.685863035</v>
      </c>
    </row>
    <row r="36" ht="14.25" customHeight="1">
      <c r="A36" s="101"/>
      <c r="B36" s="107" t="s">
        <v>104</v>
      </c>
      <c r="C36" s="108" t="s">
        <v>102</v>
      </c>
      <c r="D36" s="109">
        <v>645.33251</v>
      </c>
      <c r="E36" s="110">
        <v>645.33251</v>
      </c>
      <c r="F36" s="68">
        <f t="shared" si="1"/>
        <v>0</v>
      </c>
      <c r="G36" s="69">
        <f t="shared" si="2"/>
        <v>0</v>
      </c>
    </row>
    <row r="37" ht="14.25" customHeight="1">
      <c r="A37" s="89"/>
      <c r="B37" s="122" t="s">
        <v>105</v>
      </c>
      <c r="C37" s="123" t="s">
        <v>102</v>
      </c>
      <c r="D37" s="124">
        <v>118.28530764705883</v>
      </c>
      <c r="E37" s="125">
        <v>118.16704641176469</v>
      </c>
      <c r="F37" s="75">
        <f t="shared" si="1"/>
        <v>-0.1182612353</v>
      </c>
      <c r="G37" s="76">
        <f t="shared" si="2"/>
        <v>-0.09997964891</v>
      </c>
    </row>
    <row r="38" ht="14.25" customHeight="1">
      <c r="A38" s="15" t="s">
        <v>106</v>
      </c>
      <c r="D38" s="127"/>
      <c r="E38" s="127"/>
    </row>
    <row r="39" ht="14.25" customHeight="1">
      <c r="E39" s="80"/>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c r="C61" s="128"/>
      <c r="E61" s="128"/>
    </row>
    <row r="62" ht="14.25" customHeight="1"/>
    <row r="63" ht="14.25" customHeight="1"/>
    <row r="64" ht="14.25" customHeight="1"/>
    <row r="65" ht="14.25" customHeight="1"/>
    <row r="66" ht="14.25" customHeight="1">
      <c r="C66" s="128"/>
      <c r="E66" s="128"/>
    </row>
    <row r="67" ht="14.25" customHeight="1">
      <c r="C67" s="128"/>
      <c r="E67" s="128"/>
    </row>
    <row r="68" ht="14.25" customHeight="1">
      <c r="C68" s="128"/>
      <c r="E68" s="128"/>
    </row>
    <row r="69" ht="14.25" customHeight="1">
      <c r="C69" s="128"/>
      <c r="E69" s="128"/>
    </row>
    <row r="70" ht="14.25" customHeight="1">
      <c r="C70" s="128"/>
      <c r="E70" s="128"/>
    </row>
    <row r="71" ht="14.25" customHeight="1">
      <c r="C71" s="128"/>
      <c r="E71" s="128"/>
    </row>
    <row r="72" ht="14.25" customHeight="1">
      <c r="C72" s="128"/>
      <c r="E72" s="128"/>
    </row>
    <row r="73" ht="14.25" customHeight="1">
      <c r="C73" s="128"/>
      <c r="E73" s="128"/>
    </row>
    <row r="74" ht="14.25" customHeight="1"/>
    <row r="75" ht="14.25" customHeight="1">
      <c r="C75" s="128"/>
      <c r="E75" s="128"/>
    </row>
    <row r="76" ht="14.25" customHeight="1">
      <c r="C76" s="128"/>
      <c r="E76" s="128"/>
    </row>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3:A27"/>
    <mergeCell ref="A28:A37"/>
    <mergeCell ref="A1:A2"/>
    <mergeCell ref="B1:B2"/>
    <mergeCell ref="C1:C2"/>
    <mergeCell ref="D1:D2"/>
    <mergeCell ref="E1:E2"/>
    <mergeCell ref="F1:F2"/>
    <mergeCell ref="G1:G2"/>
  </mergeCell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57"/>
    <col customWidth="1" min="2" max="26" width="8.71"/>
  </cols>
  <sheetData>
    <row r="1" ht="14.25" customHeight="1">
      <c r="A1" s="146" t="s">
        <v>108</v>
      </c>
      <c r="B1" s="147" t="s">
        <v>109</v>
      </c>
      <c r="C1" s="148" t="s">
        <v>109</v>
      </c>
    </row>
    <row r="2" ht="14.25" customHeight="1">
      <c r="A2" s="67" t="s">
        <v>110</v>
      </c>
      <c r="B2" s="107">
        <v>2000.0</v>
      </c>
      <c r="C2" s="108">
        <v>4000.0</v>
      </c>
    </row>
    <row r="3" ht="14.25" customHeight="1">
      <c r="A3" s="67" t="s">
        <v>111</v>
      </c>
      <c r="B3" s="107">
        <v>5000.0</v>
      </c>
      <c r="C3" s="108">
        <v>15000.0</v>
      </c>
    </row>
    <row r="4" ht="14.25" customHeight="1">
      <c r="A4" s="67" t="s">
        <v>112</v>
      </c>
      <c r="B4" s="107">
        <v>800.0</v>
      </c>
      <c r="C4" s="108">
        <v>1200.0</v>
      </c>
    </row>
    <row r="5" ht="14.25" customHeight="1">
      <c r="A5" s="67" t="s">
        <v>113</v>
      </c>
      <c r="B5" s="107">
        <v>0.0</v>
      </c>
      <c r="C5" s="108">
        <v>0.0</v>
      </c>
    </row>
    <row r="6" ht="14.25" customHeight="1">
      <c r="A6" s="149" t="s">
        <v>114</v>
      </c>
      <c r="B6" s="150">
        <v>1500.0</v>
      </c>
      <c r="C6" s="151">
        <v>2500.0</v>
      </c>
    </row>
    <row r="7" ht="14.25" customHeight="1">
      <c r="A7" s="50" t="s">
        <v>115</v>
      </c>
      <c r="B7" s="152">
        <f>AVERAGE(B2:C6)</f>
        <v>3200</v>
      </c>
      <c r="C7" s="153"/>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7:C7"/>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2025-10-19T18:45:47Z</dcterms:created>
</cp:coreProperties>
</file>